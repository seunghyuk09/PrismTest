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로트별분석" sheetId="2" state="visible" r:id="rId2"/>
    <sheet name="월별집계" sheetId="3" state="visible" r:id="rId3"/>
    <sheet name="불량유형별" sheetId="4" state="visible" r:id="rId4"/>
    <sheet name="유형별추이" sheetId="5" state="visible" r:id="rId5"/>
    <sheet name="원본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FF1F3A54"/>
      <sz val="15"/>
    </font>
    <font>
      <name val="맑은 고딕"/>
      <i val="1"/>
      <color rgb="FF5A6672"/>
      <sz val="9"/>
    </font>
    <font>
      <name val="맑은 고딕"/>
      <b val="1"/>
      <color rgb="FFFFFFFF"/>
      <sz val="9.5"/>
    </font>
    <font>
      <name val="맑은 고딕"/>
      <color rgb="FF1F2328"/>
      <sz val="10"/>
    </font>
    <font>
      <name val="맑은 고딕"/>
      <b val="1"/>
      <color rgb="FF1F2328"/>
      <sz val="10"/>
    </font>
    <font>
      <name val="맑은 고딕"/>
      <b val="1"/>
      <color rgb="FF1F3A54"/>
      <sz val="12"/>
    </font>
    <font>
      <name val="맑은 고딕"/>
      <color rgb="FF1F2328"/>
      <sz val="11"/>
    </font>
    <font>
      <name val="맑은 고딕"/>
      <b val="1"/>
      <color rgb="FF1F2328"/>
      <sz val="11"/>
    </font>
    <font>
      <name val="맑은 고딕"/>
      <b val="1"/>
      <color rgb="FF1F2328"/>
      <sz val="9.5"/>
    </font>
    <font>
      <name val="맑은 고딕"/>
      <color rgb="FF5A6672"/>
      <sz val="9.5"/>
    </font>
    <font>
      <name val="맑은 고딕"/>
      <color rgb="FF1F2328"/>
      <sz val="9.5"/>
    </font>
  </fonts>
  <fills count="6">
    <fill>
      <patternFill/>
    </fill>
    <fill>
      <patternFill patternType="gray125"/>
    </fill>
    <fill>
      <patternFill patternType="solid">
        <fgColor rgb="FF1F3A54"/>
      </patternFill>
    </fill>
    <fill>
      <patternFill patternType="solid">
        <fgColor rgb="FFF7FAFD"/>
      </patternFill>
    </fill>
    <fill>
      <patternFill patternType="solid">
        <fgColor rgb="FFF0F2F4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</border>
    <border>
      <left style="thin">
        <color rgb="FFB8C2CC"/>
      </left>
      <right style="thin">
        <color rgb="FFB8C2CC"/>
      </right>
      <top style="medium">
        <color rgb="FF1F3A54"/>
      </top>
      <bottom style="medium">
        <color rgb="FF1F3A5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0" fontId="8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5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로트별 불량률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'로트별분석'!H4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'로트별분석'!$B$5:$B$12</f>
            </numRef>
          </cat>
          <val>
            <numRef>
              <f>'로트별분석'!$H$5:$H$12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납품 로트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불량률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불량 유형별 누적 수량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'불량유형별'!C4</f>
            </strRef>
          </tx>
          <spPr>
            <a:ln>
              <a:prstDash val="solid"/>
            </a:ln>
          </spPr>
          <cat>
            <numRef>
              <f>'불량유형별'!$B$5:$B$14</f>
            </numRef>
          </cat>
          <val>
            <numRef>
              <f>'불량유형별'!$C$5:$C$14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수량 (EA)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8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3" customWidth="1" min="3" max="3"/>
    <col width="13" customWidth="1" min="4" max="4"/>
    <col width="14" customWidth="1" min="5" max="5"/>
  </cols>
  <sheetData>
    <row r="1" ht="22" customHeight="1">
      <c r="A1" s="1" t="inlineStr">
        <is>
          <t>U20 플라스틱 프리즘 — 입고검사 불량 분석</t>
        </is>
      </c>
    </row>
    <row r="2">
      <c r="A2" s="2" t="inlineStr">
        <is>
          <t>2024-07-09 ~ 2026-01-23 · 8개 납품 로트 누적 · 모든 수치는 원본데이터 시트를 참조하는 수식이다.</t>
        </is>
      </c>
    </row>
    <row r="4">
      <c r="A4" s="3" t="inlineStr">
        <is>
          <t>누적 실적</t>
        </is>
      </c>
    </row>
    <row r="5" ht="20" customHeight="1">
      <c r="A5" s="4" t="inlineStr">
        <is>
          <t>항목</t>
        </is>
      </c>
      <c r="B5" s="4" t="inlineStr">
        <is>
          <t>값</t>
        </is>
      </c>
    </row>
    <row r="6">
      <c r="A6" s="5" t="inlineStr">
        <is>
          <t>검사 로트 수</t>
        </is>
      </c>
      <c r="B6" s="6">
        <f>COUNT(원본데이터!A5:A12)</f>
        <v/>
      </c>
    </row>
    <row r="7">
      <c r="A7" s="5" t="inlineStr">
        <is>
          <t>검사 기간</t>
        </is>
      </c>
      <c r="B7" s="7" t="inlineStr">
        <is>
          <t>2024-07-09 ~ 2026-01-23</t>
        </is>
      </c>
    </row>
    <row r="8">
      <c r="A8" s="8" t="inlineStr">
        <is>
          <t>총 입고수량</t>
        </is>
      </c>
      <c r="B8" s="9">
        <f>원본데이터!D13</f>
        <v/>
      </c>
    </row>
    <row r="9">
      <c r="A9" s="5" t="inlineStr">
        <is>
          <t>총 양품수량</t>
        </is>
      </c>
      <c r="B9" s="6">
        <f>원본데이터!E13</f>
        <v/>
      </c>
    </row>
    <row r="10">
      <c r="A10" s="8" t="inlineStr">
        <is>
          <t>총 불량수량</t>
        </is>
      </c>
      <c r="B10" s="9">
        <f>원본데이터!F13</f>
        <v/>
      </c>
    </row>
    <row r="11">
      <c r="A11" s="5" t="inlineStr">
        <is>
          <t>누적 양품률</t>
        </is>
      </c>
      <c r="B11" s="10">
        <f>원본데이터!E13/원본데이터!D13</f>
        <v/>
      </c>
    </row>
    <row r="12">
      <c r="A12" s="8" t="inlineStr">
        <is>
          <t>누적 불량률</t>
        </is>
      </c>
      <c r="B12" s="11">
        <f>원본데이터!F13/원본데이터!D13</f>
        <v/>
      </c>
    </row>
    <row r="15">
      <c r="A15" s="3" t="inlineStr">
        <is>
          <t>불량 유형 TOP 3</t>
        </is>
      </c>
    </row>
    <row r="16" ht="20" customHeight="1">
      <c r="A16" s="4" t="inlineStr">
        <is>
          <t>순위</t>
        </is>
      </c>
      <c r="B16" s="4" t="inlineStr">
        <is>
          <t>불량 유형</t>
        </is>
      </c>
      <c r="C16" s="4" t="inlineStr">
        <is>
          <t>수량</t>
        </is>
      </c>
      <c r="D16" s="4" t="inlineStr">
        <is>
          <t>입고 대비</t>
        </is>
      </c>
      <c r="E16" s="4" t="inlineStr">
        <is>
          <t>불량 중 비중</t>
        </is>
      </c>
    </row>
    <row r="17">
      <c r="A17" s="12" t="n">
        <v>1</v>
      </c>
      <c r="B17" s="8" t="inlineStr">
        <is>
          <t>표면 얼룩</t>
        </is>
      </c>
      <c r="C17" s="13">
        <f>원본데이터!O13</f>
        <v/>
      </c>
      <c r="D17" s="14">
        <f>원본데이터!O13/원본데이터!$D$13</f>
        <v/>
      </c>
      <c r="E17" s="14">
        <f>원본데이터!O13/원본데이터!$F$13</f>
        <v/>
      </c>
    </row>
    <row r="18">
      <c r="A18" s="15" t="n">
        <v>2</v>
      </c>
      <c r="B18" s="5" t="inlineStr">
        <is>
          <t>흰색 이물</t>
        </is>
      </c>
      <c r="C18" s="16">
        <f>원본데이터!G13</f>
        <v/>
      </c>
      <c r="D18" s="17">
        <f>원본데이터!G13/원본데이터!$D$13</f>
        <v/>
      </c>
      <c r="E18" s="17">
        <f>원본데이터!G13/원본데이터!$F$13</f>
        <v/>
      </c>
    </row>
    <row r="19">
      <c r="A19" s="15" t="n">
        <v>3</v>
      </c>
      <c r="B19" s="5" t="inlineStr">
        <is>
          <t>스크래치</t>
        </is>
      </c>
      <c r="C19" s="16">
        <f>원본데이터!I13</f>
        <v/>
      </c>
      <c r="D19" s="17">
        <f>원본데이터!I13/원본데이터!$D$13</f>
        <v/>
      </c>
      <c r="E19" s="17">
        <f>원본데이터!I13/원본데이터!$F$13</f>
        <v/>
      </c>
    </row>
    <row r="21">
      <c r="A21" s="3" t="inlineStr">
        <is>
          <t>핵심 관찰</t>
        </is>
      </c>
    </row>
    <row r="22">
      <c r="A22" s="18" t="inlineStr">
        <is>
          <t>1. 표면 얼룩은 만성 불량이 아니라 마지막 로트에서 터진 사건이다.</t>
        </is>
      </c>
    </row>
    <row r="23">
      <c r="A23" s="19" t="inlineStr">
        <is>
          <t xml:space="preserve">   누적 6,088건 중 5,843건(96.0%)이 2026-01-23 (2차) 한 로트에 집중돼 있다. 이전 7개 로트 합계는 245건뿐이다.</t>
        </is>
      </c>
    </row>
    <row r="24">
      <c r="A24" s="18" t="inlineStr">
        <is>
          <t>2. 같은 날 입고된 2026-01-23 (1차)와 (2차)의 불량률이 6.94% 대 44.92%로 극단적으로 다르다.</t>
        </is>
      </c>
    </row>
    <row r="25">
      <c r="A25" s="19" t="inlineStr">
        <is>
          <t xml:space="preserve">   같은 날짜라도 생산 로트·금형·시기가 다르다는 뜻이므로, 두 건을 하나로 합산해 해석하면 안 된다.</t>
        </is>
      </c>
    </row>
    <row r="26">
      <c r="A26" s="18" t="inlineStr">
        <is>
          <t>3. 공정은 한 번 안정화됐다가 다시 무너졌다. 37.60% → 24.78% → 2.38% → 1.57% → 0.58%까지 개선된 뒤</t>
        </is>
      </c>
    </row>
    <row r="27">
      <c r="A27" s="19" t="inlineStr">
        <is>
          <t xml:space="preserve">   2026년에 6.94% → 44.92%로 급등했다. 개선 방법을 이미 아는 공정이므로 원인 추적이 가능하다.</t>
        </is>
      </c>
    </row>
    <row r="28">
      <c r="A28" s="18" t="inlineStr">
        <is>
          <t>4. 흰색 이물도 2024-11-14에 1,036건(20.56%) 스파이크가 있었다. 단발성 사건이 반복되는 패턴이다.</t>
        </is>
      </c>
    </row>
    <row r="29">
      <c r="A29" s="18" t="inlineStr">
        <is>
          <t>5. 2026-01-23 두 로트 모두에서 흰색 이물·스크래치가 동반 증가했다. 특정 유형이 아니라 공정 전반의 악화 신호다.</t>
        </is>
      </c>
    </row>
    <row r="30">
      <c r="A30" s="20" t="inlineStr"/>
    </row>
    <row r="31">
      <c r="A31" s="19" t="inlineStr">
        <is>
          <t>※ 검사 기준서(7종)와 본 자료의 분류(10종)는 항목이 다르다. 기준서의 정식 항목인 「내부 가스」가 본 자료에 없고,</t>
        </is>
      </c>
    </row>
    <row r="32">
      <c r="A32" s="19" t="inlineStr">
        <is>
          <t xml:space="preserve">   본 자료의 「내부 백테」·「표면 얼룩」에 흡수돼 있을 가능성이 있다. 분류 체계 정합성 확인이 필요하다.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</cols>
  <sheetData>
    <row r="1" ht="22" customHeight="1">
      <c r="A1" s="1" t="inlineStr">
        <is>
          <t>로트별 분석 — 과거부터 현재까지</t>
        </is>
      </c>
    </row>
    <row r="2">
      <c r="A2" s="2" t="inlineStr">
        <is>
          <t>납품 순서대로 정렬. 불량률 추이와 로트별 최다 불량 유형.</t>
        </is>
      </c>
    </row>
    <row r="4" ht="30" customHeight="1">
      <c r="A4" s="4" t="inlineStr">
        <is>
          <t>No</t>
        </is>
      </c>
      <c r="B4" s="4" t="inlineStr">
        <is>
          <t>납품일</t>
        </is>
      </c>
      <c r="C4" s="4" t="inlineStr">
        <is>
          <t>연월</t>
        </is>
      </c>
      <c r="D4" s="4" t="inlineStr">
        <is>
          <t>입고수량</t>
        </is>
      </c>
      <c r="E4" s="4" t="inlineStr">
        <is>
          <t>양품</t>
        </is>
      </c>
      <c r="F4" s="4" t="inlineStr">
        <is>
          <t>불량</t>
        </is>
      </c>
      <c r="G4" s="4" t="inlineStr">
        <is>
          <t>양품률</t>
        </is>
      </c>
      <c r="H4" s="4" t="inlineStr">
        <is>
          <t>불량률</t>
        </is>
      </c>
      <c r="I4" s="4" t="inlineStr">
        <is>
          <t>최다 불량 유형</t>
        </is>
      </c>
      <c r="J4" s="4" t="inlineStr">
        <is>
          <t>해당 수량</t>
        </is>
      </c>
      <c r="K4" s="4" t="inlineStr">
        <is>
          <t>불량 중 비중</t>
        </is>
      </c>
    </row>
    <row r="5">
      <c r="A5" s="15">
        <f>원본데이터!A5</f>
        <v/>
      </c>
      <c r="B5" s="5">
        <f>원본데이터!B5</f>
        <v/>
      </c>
      <c r="C5" s="15">
        <f>원본데이터!C5</f>
        <v/>
      </c>
      <c r="D5" s="16">
        <f>원본데이터!D5</f>
        <v/>
      </c>
      <c r="E5" s="16">
        <f>원본데이터!E5</f>
        <v/>
      </c>
      <c r="F5" s="16">
        <f>원본데이터!F5</f>
        <v/>
      </c>
      <c r="G5" s="17">
        <f>E5/D5</f>
        <v/>
      </c>
      <c r="H5" s="17">
        <f>F5/D5</f>
        <v/>
      </c>
      <c r="I5" s="5">
        <f>INDEX(원본데이터!$G$4:$P$4,MATCH(MAX(원본데이터!$G5:$P5),원본데이터!$G5:$P5,0))</f>
        <v/>
      </c>
      <c r="J5" s="16">
        <f>MAX(원본데이터!$G5:$P5)</f>
        <v/>
      </c>
      <c r="K5" s="17">
        <f>J5/F5</f>
        <v/>
      </c>
    </row>
    <row r="6">
      <c r="A6" s="15">
        <f>원본데이터!A6</f>
        <v/>
      </c>
      <c r="B6" s="5">
        <f>원본데이터!B6</f>
        <v/>
      </c>
      <c r="C6" s="15">
        <f>원본데이터!C6</f>
        <v/>
      </c>
      <c r="D6" s="16">
        <f>원본데이터!D6</f>
        <v/>
      </c>
      <c r="E6" s="16">
        <f>원본데이터!E6</f>
        <v/>
      </c>
      <c r="F6" s="16">
        <f>원본데이터!F6</f>
        <v/>
      </c>
      <c r="G6" s="17">
        <f>E6/D6</f>
        <v/>
      </c>
      <c r="H6" s="17">
        <f>F6/D6</f>
        <v/>
      </c>
      <c r="I6" s="5">
        <f>INDEX(원본데이터!$G$4:$P$4,MATCH(MAX(원본데이터!$G6:$P6),원본데이터!$G6:$P6,0))</f>
        <v/>
      </c>
      <c r="J6" s="16">
        <f>MAX(원본데이터!$G6:$P6)</f>
        <v/>
      </c>
      <c r="K6" s="17">
        <f>J6/F6</f>
        <v/>
      </c>
    </row>
    <row r="7">
      <c r="A7" s="15">
        <f>원본데이터!A7</f>
        <v/>
      </c>
      <c r="B7" s="5">
        <f>원본데이터!B7</f>
        <v/>
      </c>
      <c r="C7" s="15">
        <f>원본데이터!C7</f>
        <v/>
      </c>
      <c r="D7" s="16">
        <f>원본데이터!D7</f>
        <v/>
      </c>
      <c r="E7" s="16">
        <f>원본데이터!E7</f>
        <v/>
      </c>
      <c r="F7" s="16">
        <f>원본데이터!F7</f>
        <v/>
      </c>
      <c r="G7" s="17">
        <f>E7/D7</f>
        <v/>
      </c>
      <c r="H7" s="17">
        <f>F7/D7</f>
        <v/>
      </c>
      <c r="I7" s="5">
        <f>INDEX(원본데이터!$G$4:$P$4,MATCH(MAX(원본데이터!$G7:$P7),원본데이터!$G7:$P7,0))</f>
        <v/>
      </c>
      <c r="J7" s="16">
        <f>MAX(원본데이터!$G7:$P7)</f>
        <v/>
      </c>
      <c r="K7" s="17">
        <f>J7/F7</f>
        <v/>
      </c>
    </row>
    <row r="8">
      <c r="A8" s="15">
        <f>원본데이터!A8</f>
        <v/>
      </c>
      <c r="B8" s="5">
        <f>원본데이터!B8</f>
        <v/>
      </c>
      <c r="C8" s="15">
        <f>원본데이터!C8</f>
        <v/>
      </c>
      <c r="D8" s="16">
        <f>원본데이터!D8</f>
        <v/>
      </c>
      <c r="E8" s="16">
        <f>원본데이터!E8</f>
        <v/>
      </c>
      <c r="F8" s="16">
        <f>원본데이터!F8</f>
        <v/>
      </c>
      <c r="G8" s="17">
        <f>E8/D8</f>
        <v/>
      </c>
      <c r="H8" s="17">
        <f>F8/D8</f>
        <v/>
      </c>
      <c r="I8" s="5">
        <f>INDEX(원본데이터!$G$4:$P$4,MATCH(MAX(원본데이터!$G8:$P8),원본데이터!$G8:$P8,0))</f>
        <v/>
      </c>
      <c r="J8" s="16">
        <f>MAX(원본데이터!$G8:$P8)</f>
        <v/>
      </c>
      <c r="K8" s="17">
        <f>J8/F8</f>
        <v/>
      </c>
    </row>
    <row r="9">
      <c r="A9" s="15">
        <f>원본데이터!A9</f>
        <v/>
      </c>
      <c r="B9" s="5">
        <f>원본데이터!B9</f>
        <v/>
      </c>
      <c r="C9" s="15">
        <f>원본데이터!C9</f>
        <v/>
      </c>
      <c r="D9" s="16">
        <f>원본데이터!D9</f>
        <v/>
      </c>
      <c r="E9" s="16">
        <f>원본데이터!E9</f>
        <v/>
      </c>
      <c r="F9" s="16">
        <f>원본데이터!F9</f>
        <v/>
      </c>
      <c r="G9" s="17">
        <f>E9/D9</f>
        <v/>
      </c>
      <c r="H9" s="17">
        <f>F9/D9</f>
        <v/>
      </c>
      <c r="I9" s="5">
        <f>INDEX(원본데이터!$G$4:$P$4,MATCH(MAX(원본데이터!$G9:$P9),원본데이터!$G9:$P9,0))</f>
        <v/>
      </c>
      <c r="J9" s="16">
        <f>MAX(원본데이터!$G9:$P9)</f>
        <v/>
      </c>
      <c r="K9" s="17">
        <f>J9/F9</f>
        <v/>
      </c>
    </row>
    <row r="10">
      <c r="A10" s="15">
        <f>원본데이터!A10</f>
        <v/>
      </c>
      <c r="B10" s="5">
        <f>원본데이터!B10</f>
        <v/>
      </c>
      <c r="C10" s="15">
        <f>원본데이터!C10</f>
        <v/>
      </c>
      <c r="D10" s="16">
        <f>원본데이터!D10</f>
        <v/>
      </c>
      <c r="E10" s="16">
        <f>원본데이터!E10</f>
        <v/>
      </c>
      <c r="F10" s="16">
        <f>원본데이터!F10</f>
        <v/>
      </c>
      <c r="G10" s="17">
        <f>E10/D10</f>
        <v/>
      </c>
      <c r="H10" s="17">
        <f>F10/D10</f>
        <v/>
      </c>
      <c r="I10" s="5">
        <f>INDEX(원본데이터!$G$4:$P$4,MATCH(MAX(원본데이터!$G10:$P10),원본데이터!$G10:$P10,0))</f>
        <v/>
      </c>
      <c r="J10" s="16">
        <f>MAX(원본데이터!$G10:$P10)</f>
        <v/>
      </c>
      <c r="K10" s="17">
        <f>J10/F10</f>
        <v/>
      </c>
    </row>
    <row r="11">
      <c r="A11" s="15">
        <f>원본데이터!A11</f>
        <v/>
      </c>
      <c r="B11" s="5">
        <f>원본데이터!B11</f>
        <v/>
      </c>
      <c r="C11" s="15">
        <f>원본데이터!C11</f>
        <v/>
      </c>
      <c r="D11" s="16">
        <f>원본데이터!D11</f>
        <v/>
      </c>
      <c r="E11" s="16">
        <f>원본데이터!E11</f>
        <v/>
      </c>
      <c r="F11" s="16">
        <f>원본데이터!F11</f>
        <v/>
      </c>
      <c r="G11" s="17">
        <f>E11/D11</f>
        <v/>
      </c>
      <c r="H11" s="17">
        <f>F11/D11</f>
        <v/>
      </c>
      <c r="I11" s="5">
        <f>INDEX(원본데이터!$G$4:$P$4,MATCH(MAX(원본데이터!$G11:$P11),원본데이터!$G11:$P11,0))</f>
        <v/>
      </c>
      <c r="J11" s="16">
        <f>MAX(원본데이터!$G11:$P11)</f>
        <v/>
      </c>
      <c r="K11" s="17">
        <f>J11/F11</f>
        <v/>
      </c>
    </row>
    <row r="12">
      <c r="A12" s="15">
        <f>원본데이터!A12</f>
        <v/>
      </c>
      <c r="B12" s="5">
        <f>원본데이터!B12</f>
        <v/>
      </c>
      <c r="C12" s="15">
        <f>원본데이터!C12</f>
        <v/>
      </c>
      <c r="D12" s="16">
        <f>원본데이터!D12</f>
        <v/>
      </c>
      <c r="E12" s="16">
        <f>원본데이터!E12</f>
        <v/>
      </c>
      <c r="F12" s="16">
        <f>원본데이터!F12</f>
        <v/>
      </c>
      <c r="G12" s="17">
        <f>E12/D12</f>
        <v/>
      </c>
      <c r="H12" s="17">
        <f>F12/D12</f>
        <v/>
      </c>
      <c r="I12" s="5">
        <f>INDEX(원본데이터!$G$4:$P$4,MATCH(MAX(원본데이터!$G12:$P12),원본데이터!$G12:$P12,0))</f>
        <v/>
      </c>
      <c r="J12" s="16">
        <f>MAX(원본데이터!$G12:$P12)</f>
        <v/>
      </c>
      <c r="K12" s="17">
        <f>J12/F12</f>
        <v/>
      </c>
    </row>
    <row r="13">
      <c r="A13" s="21" t="inlineStr">
        <is>
          <t>합계</t>
        </is>
      </c>
      <c r="B13" s="21" t="n"/>
      <c r="C13" s="21" t="n"/>
      <c r="D13" s="22">
        <f>원본데이터!D13</f>
        <v/>
      </c>
      <c r="E13" s="22">
        <f>원본데이터!E13</f>
        <v/>
      </c>
      <c r="F13" s="22">
        <f>원본데이터!F13</f>
        <v/>
      </c>
      <c r="G13" s="23">
        <f>E13/D13</f>
        <v/>
      </c>
      <c r="H13" s="23">
        <f>F13/D13</f>
        <v/>
      </c>
      <c r="I13" s="24" t="n"/>
      <c r="J13" s="24" t="n"/>
      <c r="K13" s="24" t="n"/>
    </row>
  </sheetData>
  <mergeCells count="3">
    <mergeCell ref="A1:I1"/>
    <mergeCell ref="A13:C1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2" customHeight="1">
      <c r="A1" s="1" t="inlineStr">
        <is>
          <t>월별 집계</t>
        </is>
      </c>
    </row>
    <row r="2">
      <c r="A2" s="2" t="inlineStr">
        <is>
          <t>같은 달에 2개 로트가 있는 2026-01은 합산했다. SUMIFS로 원본데이터를 집계한다.</t>
        </is>
      </c>
    </row>
    <row r="4" ht="30" customHeight="1">
      <c r="A4" s="4" t="inlineStr">
        <is>
          <t>연월</t>
        </is>
      </c>
      <c r="B4" s="4" t="inlineStr">
        <is>
          <t>로트 수</t>
        </is>
      </c>
      <c r="C4" s="4" t="inlineStr">
        <is>
          <t>입고수량</t>
        </is>
      </c>
      <c r="D4" s="4" t="inlineStr">
        <is>
          <t>양품</t>
        </is>
      </c>
      <c r="E4" s="4" t="inlineStr">
        <is>
          <t>불량</t>
        </is>
      </c>
      <c r="F4" s="4" t="inlineStr">
        <is>
          <t>불량률</t>
        </is>
      </c>
      <c r="G4" s="4" t="inlineStr">
        <is>
          <t>흰색 이물</t>
        </is>
      </c>
      <c r="H4" s="4" t="inlineStr">
        <is>
          <t>검정색 이물</t>
        </is>
      </c>
      <c r="I4" s="4" t="inlineStr">
        <is>
          <t>스크래치</t>
        </is>
      </c>
      <c r="J4" s="4" t="inlineStr">
        <is>
          <t>Diffuser 얼룩</t>
        </is>
      </c>
      <c r="K4" s="4" t="inlineStr">
        <is>
          <t>Dig</t>
        </is>
      </c>
      <c r="L4" s="4" t="inlineStr">
        <is>
          <t>파손</t>
        </is>
      </c>
      <c r="M4" s="4" t="inlineStr">
        <is>
          <t>내부 기포</t>
        </is>
      </c>
      <c r="N4" s="4" t="inlineStr">
        <is>
          <t>내부 백테</t>
        </is>
      </c>
      <c r="O4" s="4" t="inlineStr">
        <is>
          <t>표면 얼룩</t>
        </is>
      </c>
      <c r="P4" s="4" t="inlineStr">
        <is>
          <t>페인트 얼룩</t>
        </is>
      </c>
    </row>
    <row r="5">
      <c r="A5" s="15" t="inlineStr">
        <is>
          <t>2024-07</t>
        </is>
      </c>
      <c r="B5" s="16">
        <f>COUNTIF(원본데이터!$C$5:$C$12,$A5)</f>
        <v/>
      </c>
      <c r="C5" s="16">
        <f>SUMIFS(원본데이터!$D$5:$D$12,원본데이터!$C$5:$C$12,$A5)</f>
        <v/>
      </c>
      <c r="D5" s="16">
        <f>SUMIFS(원본데이터!$E$5:$E$12,원본데이터!$C$5:$C$12,$A5)</f>
        <v/>
      </c>
      <c r="E5" s="16">
        <f>SUMIFS(원본데이터!$F$5:$F$12,원본데이터!$C$5:$C$12,$A5)</f>
        <v/>
      </c>
      <c r="F5" s="17">
        <f>E5/C5</f>
        <v/>
      </c>
      <c r="G5" s="16">
        <f>SUMIFS(원본데이터!$G$5:$G$12,원본데이터!$C$5:$C$12,$A5)</f>
        <v/>
      </c>
      <c r="H5" s="16">
        <f>SUMIFS(원본데이터!$H$5:$H$12,원본데이터!$C$5:$C$12,$A5)</f>
        <v/>
      </c>
      <c r="I5" s="16">
        <f>SUMIFS(원본데이터!$I$5:$I$12,원본데이터!$C$5:$C$12,$A5)</f>
        <v/>
      </c>
      <c r="J5" s="16">
        <f>SUMIFS(원본데이터!$J$5:$J$12,원본데이터!$C$5:$C$12,$A5)</f>
        <v/>
      </c>
      <c r="K5" s="16">
        <f>SUMIFS(원본데이터!$K$5:$K$12,원본데이터!$C$5:$C$12,$A5)</f>
        <v/>
      </c>
      <c r="L5" s="16">
        <f>SUMIFS(원본데이터!$L$5:$L$12,원본데이터!$C$5:$C$12,$A5)</f>
        <v/>
      </c>
      <c r="M5" s="16">
        <f>SUMIFS(원본데이터!$M$5:$M$12,원본데이터!$C$5:$C$12,$A5)</f>
        <v/>
      </c>
      <c r="N5" s="16">
        <f>SUMIFS(원본데이터!$N$5:$N$12,원본데이터!$C$5:$C$12,$A5)</f>
        <v/>
      </c>
      <c r="O5" s="16">
        <f>SUMIFS(원본데이터!$O$5:$O$12,원본데이터!$C$5:$C$12,$A5)</f>
        <v/>
      </c>
      <c r="P5" s="16">
        <f>SUMIFS(원본데이터!$P$5:$P$12,원본데이터!$C$5:$C$12,$A5)</f>
        <v/>
      </c>
    </row>
    <row r="6">
      <c r="A6" s="15" t="inlineStr">
        <is>
          <t>2024-11</t>
        </is>
      </c>
      <c r="B6" s="16">
        <f>COUNTIF(원본데이터!$C$5:$C$12,$A6)</f>
        <v/>
      </c>
      <c r="C6" s="16">
        <f>SUMIFS(원본데이터!$D$5:$D$12,원본데이터!$C$5:$C$12,$A6)</f>
        <v/>
      </c>
      <c r="D6" s="16">
        <f>SUMIFS(원본데이터!$E$5:$E$12,원본데이터!$C$5:$C$12,$A6)</f>
        <v/>
      </c>
      <c r="E6" s="16">
        <f>SUMIFS(원본데이터!$F$5:$F$12,원본데이터!$C$5:$C$12,$A6)</f>
        <v/>
      </c>
      <c r="F6" s="17">
        <f>E6/C6</f>
        <v/>
      </c>
      <c r="G6" s="16">
        <f>SUMIFS(원본데이터!$G$5:$G$12,원본데이터!$C$5:$C$12,$A6)</f>
        <v/>
      </c>
      <c r="H6" s="16">
        <f>SUMIFS(원본데이터!$H$5:$H$12,원본데이터!$C$5:$C$12,$A6)</f>
        <v/>
      </c>
      <c r="I6" s="16">
        <f>SUMIFS(원본데이터!$I$5:$I$12,원본데이터!$C$5:$C$12,$A6)</f>
        <v/>
      </c>
      <c r="J6" s="16">
        <f>SUMIFS(원본데이터!$J$5:$J$12,원본데이터!$C$5:$C$12,$A6)</f>
        <v/>
      </c>
      <c r="K6" s="16">
        <f>SUMIFS(원본데이터!$K$5:$K$12,원본데이터!$C$5:$C$12,$A6)</f>
        <v/>
      </c>
      <c r="L6" s="16">
        <f>SUMIFS(원본데이터!$L$5:$L$12,원본데이터!$C$5:$C$12,$A6)</f>
        <v/>
      </c>
      <c r="M6" s="16">
        <f>SUMIFS(원본데이터!$M$5:$M$12,원본데이터!$C$5:$C$12,$A6)</f>
        <v/>
      </c>
      <c r="N6" s="16">
        <f>SUMIFS(원본데이터!$N$5:$N$12,원본데이터!$C$5:$C$12,$A6)</f>
        <v/>
      </c>
      <c r="O6" s="16">
        <f>SUMIFS(원본데이터!$O$5:$O$12,원본데이터!$C$5:$C$12,$A6)</f>
        <v/>
      </c>
      <c r="P6" s="16">
        <f>SUMIFS(원본데이터!$P$5:$P$12,원본데이터!$C$5:$C$12,$A6)</f>
        <v/>
      </c>
    </row>
    <row r="7">
      <c r="A7" s="15" t="inlineStr">
        <is>
          <t>2024-12</t>
        </is>
      </c>
      <c r="B7" s="16">
        <f>COUNTIF(원본데이터!$C$5:$C$12,$A7)</f>
        <v/>
      </c>
      <c r="C7" s="16">
        <f>SUMIFS(원본데이터!$D$5:$D$12,원본데이터!$C$5:$C$12,$A7)</f>
        <v/>
      </c>
      <c r="D7" s="16">
        <f>SUMIFS(원본데이터!$E$5:$E$12,원본데이터!$C$5:$C$12,$A7)</f>
        <v/>
      </c>
      <c r="E7" s="16">
        <f>SUMIFS(원본데이터!$F$5:$F$12,원본데이터!$C$5:$C$12,$A7)</f>
        <v/>
      </c>
      <c r="F7" s="17">
        <f>E7/C7</f>
        <v/>
      </c>
      <c r="G7" s="16">
        <f>SUMIFS(원본데이터!$G$5:$G$12,원본데이터!$C$5:$C$12,$A7)</f>
        <v/>
      </c>
      <c r="H7" s="16">
        <f>SUMIFS(원본데이터!$H$5:$H$12,원본데이터!$C$5:$C$12,$A7)</f>
        <v/>
      </c>
      <c r="I7" s="16">
        <f>SUMIFS(원본데이터!$I$5:$I$12,원본데이터!$C$5:$C$12,$A7)</f>
        <v/>
      </c>
      <c r="J7" s="16">
        <f>SUMIFS(원본데이터!$J$5:$J$12,원본데이터!$C$5:$C$12,$A7)</f>
        <v/>
      </c>
      <c r="K7" s="16">
        <f>SUMIFS(원본데이터!$K$5:$K$12,원본데이터!$C$5:$C$12,$A7)</f>
        <v/>
      </c>
      <c r="L7" s="16">
        <f>SUMIFS(원본데이터!$L$5:$L$12,원본데이터!$C$5:$C$12,$A7)</f>
        <v/>
      </c>
      <c r="M7" s="16">
        <f>SUMIFS(원본데이터!$M$5:$M$12,원본데이터!$C$5:$C$12,$A7)</f>
        <v/>
      </c>
      <c r="N7" s="16">
        <f>SUMIFS(원본데이터!$N$5:$N$12,원본데이터!$C$5:$C$12,$A7)</f>
        <v/>
      </c>
      <c r="O7" s="16">
        <f>SUMIFS(원본데이터!$O$5:$O$12,원본데이터!$C$5:$C$12,$A7)</f>
        <v/>
      </c>
      <c r="P7" s="16">
        <f>SUMIFS(원본데이터!$P$5:$P$12,원본데이터!$C$5:$C$12,$A7)</f>
        <v/>
      </c>
    </row>
    <row r="8">
      <c r="A8" s="15" t="inlineStr">
        <is>
          <t>2025-01</t>
        </is>
      </c>
      <c r="B8" s="16">
        <f>COUNTIF(원본데이터!$C$5:$C$12,$A8)</f>
        <v/>
      </c>
      <c r="C8" s="16">
        <f>SUMIFS(원본데이터!$D$5:$D$12,원본데이터!$C$5:$C$12,$A8)</f>
        <v/>
      </c>
      <c r="D8" s="16">
        <f>SUMIFS(원본데이터!$E$5:$E$12,원본데이터!$C$5:$C$12,$A8)</f>
        <v/>
      </c>
      <c r="E8" s="16">
        <f>SUMIFS(원본데이터!$F$5:$F$12,원본데이터!$C$5:$C$12,$A8)</f>
        <v/>
      </c>
      <c r="F8" s="17">
        <f>E8/C8</f>
        <v/>
      </c>
      <c r="G8" s="16">
        <f>SUMIFS(원본데이터!$G$5:$G$12,원본데이터!$C$5:$C$12,$A8)</f>
        <v/>
      </c>
      <c r="H8" s="16">
        <f>SUMIFS(원본데이터!$H$5:$H$12,원본데이터!$C$5:$C$12,$A8)</f>
        <v/>
      </c>
      <c r="I8" s="16">
        <f>SUMIFS(원본데이터!$I$5:$I$12,원본데이터!$C$5:$C$12,$A8)</f>
        <v/>
      </c>
      <c r="J8" s="16">
        <f>SUMIFS(원본데이터!$J$5:$J$12,원본데이터!$C$5:$C$12,$A8)</f>
        <v/>
      </c>
      <c r="K8" s="16">
        <f>SUMIFS(원본데이터!$K$5:$K$12,원본데이터!$C$5:$C$12,$A8)</f>
        <v/>
      </c>
      <c r="L8" s="16">
        <f>SUMIFS(원본데이터!$L$5:$L$12,원본데이터!$C$5:$C$12,$A8)</f>
        <v/>
      </c>
      <c r="M8" s="16">
        <f>SUMIFS(원본데이터!$M$5:$M$12,원본데이터!$C$5:$C$12,$A8)</f>
        <v/>
      </c>
      <c r="N8" s="16">
        <f>SUMIFS(원본데이터!$N$5:$N$12,원본데이터!$C$5:$C$12,$A8)</f>
        <v/>
      </c>
      <c r="O8" s="16">
        <f>SUMIFS(원본데이터!$O$5:$O$12,원본데이터!$C$5:$C$12,$A8)</f>
        <v/>
      </c>
      <c r="P8" s="16">
        <f>SUMIFS(원본데이터!$P$5:$P$12,원본데이터!$C$5:$C$12,$A8)</f>
        <v/>
      </c>
    </row>
    <row r="9">
      <c r="A9" s="15" t="inlineStr">
        <is>
          <t>2025-02</t>
        </is>
      </c>
      <c r="B9" s="16">
        <f>COUNTIF(원본데이터!$C$5:$C$12,$A9)</f>
        <v/>
      </c>
      <c r="C9" s="16">
        <f>SUMIFS(원본데이터!$D$5:$D$12,원본데이터!$C$5:$C$12,$A9)</f>
        <v/>
      </c>
      <c r="D9" s="16">
        <f>SUMIFS(원본데이터!$E$5:$E$12,원본데이터!$C$5:$C$12,$A9)</f>
        <v/>
      </c>
      <c r="E9" s="16">
        <f>SUMIFS(원본데이터!$F$5:$F$12,원본데이터!$C$5:$C$12,$A9)</f>
        <v/>
      </c>
      <c r="F9" s="17">
        <f>E9/C9</f>
        <v/>
      </c>
      <c r="G9" s="16">
        <f>SUMIFS(원본데이터!$G$5:$G$12,원본데이터!$C$5:$C$12,$A9)</f>
        <v/>
      </c>
      <c r="H9" s="16">
        <f>SUMIFS(원본데이터!$H$5:$H$12,원본데이터!$C$5:$C$12,$A9)</f>
        <v/>
      </c>
      <c r="I9" s="16">
        <f>SUMIFS(원본데이터!$I$5:$I$12,원본데이터!$C$5:$C$12,$A9)</f>
        <v/>
      </c>
      <c r="J9" s="16">
        <f>SUMIFS(원본데이터!$J$5:$J$12,원본데이터!$C$5:$C$12,$A9)</f>
        <v/>
      </c>
      <c r="K9" s="16">
        <f>SUMIFS(원본데이터!$K$5:$K$12,원본데이터!$C$5:$C$12,$A9)</f>
        <v/>
      </c>
      <c r="L9" s="16">
        <f>SUMIFS(원본데이터!$L$5:$L$12,원본데이터!$C$5:$C$12,$A9)</f>
        <v/>
      </c>
      <c r="M9" s="16">
        <f>SUMIFS(원본데이터!$M$5:$M$12,원본데이터!$C$5:$C$12,$A9)</f>
        <v/>
      </c>
      <c r="N9" s="16">
        <f>SUMIFS(원본데이터!$N$5:$N$12,원본데이터!$C$5:$C$12,$A9)</f>
        <v/>
      </c>
      <c r="O9" s="16">
        <f>SUMIFS(원본데이터!$O$5:$O$12,원본데이터!$C$5:$C$12,$A9)</f>
        <v/>
      </c>
      <c r="P9" s="16">
        <f>SUMIFS(원본데이터!$P$5:$P$12,원본데이터!$C$5:$C$12,$A9)</f>
        <v/>
      </c>
    </row>
    <row r="10">
      <c r="A10" s="15" t="inlineStr">
        <is>
          <t>2025-06</t>
        </is>
      </c>
      <c r="B10" s="16">
        <f>COUNTIF(원본데이터!$C$5:$C$12,$A10)</f>
        <v/>
      </c>
      <c r="C10" s="16">
        <f>SUMIFS(원본데이터!$D$5:$D$12,원본데이터!$C$5:$C$12,$A10)</f>
        <v/>
      </c>
      <c r="D10" s="16">
        <f>SUMIFS(원본데이터!$E$5:$E$12,원본데이터!$C$5:$C$12,$A10)</f>
        <v/>
      </c>
      <c r="E10" s="16">
        <f>SUMIFS(원본데이터!$F$5:$F$12,원본데이터!$C$5:$C$12,$A10)</f>
        <v/>
      </c>
      <c r="F10" s="17">
        <f>E10/C10</f>
        <v/>
      </c>
      <c r="G10" s="16">
        <f>SUMIFS(원본데이터!$G$5:$G$12,원본데이터!$C$5:$C$12,$A10)</f>
        <v/>
      </c>
      <c r="H10" s="16">
        <f>SUMIFS(원본데이터!$H$5:$H$12,원본데이터!$C$5:$C$12,$A10)</f>
        <v/>
      </c>
      <c r="I10" s="16">
        <f>SUMIFS(원본데이터!$I$5:$I$12,원본데이터!$C$5:$C$12,$A10)</f>
        <v/>
      </c>
      <c r="J10" s="16">
        <f>SUMIFS(원본데이터!$J$5:$J$12,원본데이터!$C$5:$C$12,$A10)</f>
        <v/>
      </c>
      <c r="K10" s="16">
        <f>SUMIFS(원본데이터!$K$5:$K$12,원본데이터!$C$5:$C$12,$A10)</f>
        <v/>
      </c>
      <c r="L10" s="16">
        <f>SUMIFS(원본데이터!$L$5:$L$12,원본데이터!$C$5:$C$12,$A10)</f>
        <v/>
      </c>
      <c r="M10" s="16">
        <f>SUMIFS(원본데이터!$M$5:$M$12,원본데이터!$C$5:$C$12,$A10)</f>
        <v/>
      </c>
      <c r="N10" s="16">
        <f>SUMIFS(원본데이터!$N$5:$N$12,원본데이터!$C$5:$C$12,$A10)</f>
        <v/>
      </c>
      <c r="O10" s="16">
        <f>SUMIFS(원본데이터!$O$5:$O$12,원본데이터!$C$5:$C$12,$A10)</f>
        <v/>
      </c>
      <c r="P10" s="16">
        <f>SUMIFS(원본데이터!$P$5:$P$12,원본데이터!$C$5:$C$12,$A10)</f>
        <v/>
      </c>
    </row>
    <row r="11">
      <c r="A11" s="15" t="inlineStr">
        <is>
          <t>2026-01</t>
        </is>
      </c>
      <c r="B11" s="16">
        <f>COUNTIF(원본데이터!$C$5:$C$12,$A11)</f>
        <v/>
      </c>
      <c r="C11" s="16">
        <f>SUMIFS(원본데이터!$D$5:$D$12,원본데이터!$C$5:$C$12,$A11)</f>
        <v/>
      </c>
      <c r="D11" s="16">
        <f>SUMIFS(원본데이터!$E$5:$E$12,원본데이터!$C$5:$C$12,$A11)</f>
        <v/>
      </c>
      <c r="E11" s="16">
        <f>SUMIFS(원본데이터!$F$5:$F$12,원본데이터!$C$5:$C$12,$A11)</f>
        <v/>
      </c>
      <c r="F11" s="17">
        <f>E11/C11</f>
        <v/>
      </c>
      <c r="G11" s="16">
        <f>SUMIFS(원본데이터!$G$5:$G$12,원본데이터!$C$5:$C$12,$A11)</f>
        <v/>
      </c>
      <c r="H11" s="16">
        <f>SUMIFS(원본데이터!$H$5:$H$12,원본데이터!$C$5:$C$12,$A11)</f>
        <v/>
      </c>
      <c r="I11" s="16">
        <f>SUMIFS(원본데이터!$I$5:$I$12,원본데이터!$C$5:$C$12,$A11)</f>
        <v/>
      </c>
      <c r="J11" s="16">
        <f>SUMIFS(원본데이터!$J$5:$J$12,원본데이터!$C$5:$C$12,$A11)</f>
        <v/>
      </c>
      <c r="K11" s="16">
        <f>SUMIFS(원본데이터!$K$5:$K$12,원본데이터!$C$5:$C$12,$A11)</f>
        <v/>
      </c>
      <c r="L11" s="16">
        <f>SUMIFS(원본데이터!$L$5:$L$12,원본데이터!$C$5:$C$12,$A11)</f>
        <v/>
      </c>
      <c r="M11" s="16">
        <f>SUMIFS(원본데이터!$M$5:$M$12,원본데이터!$C$5:$C$12,$A11)</f>
        <v/>
      </c>
      <c r="N11" s="16">
        <f>SUMIFS(원본데이터!$N$5:$N$12,원본데이터!$C$5:$C$12,$A11)</f>
        <v/>
      </c>
      <c r="O11" s="16">
        <f>SUMIFS(원본데이터!$O$5:$O$12,원본데이터!$C$5:$C$12,$A11)</f>
        <v/>
      </c>
      <c r="P11" s="16">
        <f>SUMIFS(원본데이터!$P$5:$P$12,원본데이터!$C$5:$C$12,$A11)</f>
        <v/>
      </c>
    </row>
    <row r="12">
      <c r="A12" s="21" t="inlineStr">
        <is>
          <t>합계</t>
        </is>
      </c>
      <c r="B12" s="22">
        <f>SUM(B5:B11)</f>
        <v/>
      </c>
      <c r="C12" s="22">
        <f>SUM(C5:C11)</f>
        <v/>
      </c>
      <c r="D12" s="22">
        <f>SUM(D5:D11)</f>
        <v/>
      </c>
      <c r="E12" s="22">
        <f>SUM(E5:E11)</f>
        <v/>
      </c>
      <c r="F12" s="23">
        <f>E12/C12</f>
        <v/>
      </c>
      <c r="G12" s="22">
        <f>SUM(G5:G11)</f>
        <v/>
      </c>
      <c r="H12" s="22">
        <f>SUM(H5:H11)</f>
        <v/>
      </c>
      <c r="I12" s="22">
        <f>SUM(I5:I11)</f>
        <v/>
      </c>
      <c r="J12" s="22">
        <f>SUM(J5:J11)</f>
        <v/>
      </c>
      <c r="K12" s="22">
        <f>SUM(K5:K11)</f>
        <v/>
      </c>
      <c r="L12" s="22">
        <f>SUM(L5:L11)</f>
        <v/>
      </c>
      <c r="M12" s="22">
        <f>SUM(M5:M11)</f>
        <v/>
      </c>
      <c r="N12" s="22">
        <f>SUM(N5:N11)</f>
        <v/>
      </c>
      <c r="O12" s="22">
        <f>SUM(O5:O11)</f>
        <v/>
      </c>
      <c r="P12" s="22">
        <f>SUM(P5:P11)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1" customWidth="1" min="4" max="4"/>
    <col width="13" customWidth="1" min="5" max="5"/>
    <col width="11" customWidth="1" min="6" max="6"/>
    <col width="13" customWidth="1" min="7" max="7"/>
    <col width="17" customWidth="1" min="8" max="8"/>
    <col width="11" customWidth="1" min="9" max="9"/>
  </cols>
  <sheetData>
    <row r="1" ht="22" customHeight="1">
      <c r="A1" s="1" t="inlineStr">
        <is>
          <t>불량 유형별 분석 (파레토)</t>
        </is>
      </c>
    </row>
    <row r="2">
      <c r="A2" s="2" t="inlineStr">
        <is>
          <t>누적 수량 내림차순. 발생 로트 수는 해당 유형이 1건 이상 나온 로트의 개수다.</t>
        </is>
      </c>
    </row>
    <row r="4" ht="30" customHeight="1">
      <c r="A4" s="4" t="inlineStr">
        <is>
          <t>순위</t>
        </is>
      </c>
      <c r="B4" s="4" t="inlineStr">
        <is>
          <t>불량 유형</t>
        </is>
      </c>
      <c r="C4" s="4" t="inlineStr">
        <is>
          <t>누적 수량</t>
        </is>
      </c>
      <c r="D4" s="4" t="inlineStr">
        <is>
          <t>입고 대비</t>
        </is>
      </c>
      <c r="E4" s="4" t="inlineStr">
        <is>
          <t>불량 중 비중</t>
        </is>
      </c>
      <c r="F4" s="4" t="inlineStr">
        <is>
          <t>누적 비중</t>
        </is>
      </c>
      <c r="G4" s="4" t="inlineStr">
        <is>
          <t>발생 로트 수</t>
        </is>
      </c>
      <c r="H4" s="4" t="inlineStr">
        <is>
          <t>최다 발생 로트</t>
        </is>
      </c>
      <c r="I4" s="4" t="inlineStr">
        <is>
          <t>최다 수량</t>
        </is>
      </c>
    </row>
    <row r="5">
      <c r="A5" s="12" t="n">
        <v>1</v>
      </c>
      <c r="B5" s="8" t="inlineStr">
        <is>
          <t>표면 얼룩</t>
        </is>
      </c>
      <c r="C5" s="13">
        <f>원본데이터!O13</f>
        <v/>
      </c>
      <c r="D5" s="14">
        <f>C5/원본데이터!$D$13</f>
        <v/>
      </c>
      <c r="E5" s="14">
        <f>C5/원본데이터!$F$13</f>
        <v/>
      </c>
      <c r="F5" s="14">
        <f>SUM($C$5:C5)/원본데이터!$F$13</f>
        <v/>
      </c>
      <c r="G5" s="12">
        <f>COUNTIF(원본데이터!$O$5:$O$12,"&gt;0")</f>
        <v/>
      </c>
      <c r="H5" s="8">
        <f>INDEX(원본데이터!$B$5:$B$12,MATCH(MAX(원본데이터!$O$5:$O$12),원본데이터!$O$5:$O$12,0))</f>
        <v/>
      </c>
      <c r="I5" s="13">
        <f>MAX(원본데이터!$O$5:$O$12)</f>
        <v/>
      </c>
    </row>
    <row r="6">
      <c r="A6" s="12" t="n">
        <v>2</v>
      </c>
      <c r="B6" s="8" t="inlineStr">
        <is>
          <t>흰색 이물</t>
        </is>
      </c>
      <c r="C6" s="13">
        <f>원본데이터!G13</f>
        <v/>
      </c>
      <c r="D6" s="14">
        <f>C6/원본데이터!$D$13</f>
        <v/>
      </c>
      <c r="E6" s="14">
        <f>C6/원본데이터!$F$13</f>
        <v/>
      </c>
      <c r="F6" s="14">
        <f>SUM($C$5:C6)/원본데이터!$F$13</f>
        <v/>
      </c>
      <c r="G6" s="12">
        <f>COUNTIF(원본데이터!$G$5:$G$12,"&gt;0")</f>
        <v/>
      </c>
      <c r="H6" s="8">
        <f>INDEX(원본데이터!$B$5:$B$12,MATCH(MAX(원본데이터!$G$5:$G$12),원본데이터!$G$5:$G$12,0))</f>
        <v/>
      </c>
      <c r="I6" s="13">
        <f>MAX(원본데이터!$G$5:$G$12)</f>
        <v/>
      </c>
    </row>
    <row r="7">
      <c r="A7" s="15" t="n">
        <v>3</v>
      </c>
      <c r="B7" s="5" t="inlineStr">
        <is>
          <t>스크래치</t>
        </is>
      </c>
      <c r="C7" s="16">
        <f>원본데이터!I13</f>
        <v/>
      </c>
      <c r="D7" s="17">
        <f>C7/원본데이터!$D$13</f>
        <v/>
      </c>
      <c r="E7" s="17">
        <f>C7/원본데이터!$F$13</f>
        <v/>
      </c>
      <c r="F7" s="17">
        <f>SUM($C$5:C7)/원본데이터!$F$13</f>
        <v/>
      </c>
      <c r="G7" s="15">
        <f>COUNTIF(원본데이터!$I$5:$I$12,"&gt;0")</f>
        <v/>
      </c>
      <c r="H7" s="5">
        <f>INDEX(원본데이터!$B$5:$B$12,MATCH(MAX(원본데이터!$I$5:$I$12),원본데이터!$I$5:$I$12,0))</f>
        <v/>
      </c>
      <c r="I7" s="16">
        <f>MAX(원본데이터!$I$5:$I$12)</f>
        <v/>
      </c>
    </row>
    <row r="8">
      <c r="A8" s="15" t="n">
        <v>4</v>
      </c>
      <c r="B8" s="5" t="inlineStr">
        <is>
          <t>검정색 이물</t>
        </is>
      </c>
      <c r="C8" s="16">
        <f>원본데이터!H13</f>
        <v/>
      </c>
      <c r="D8" s="17">
        <f>C8/원본데이터!$D$13</f>
        <v/>
      </c>
      <c r="E8" s="17">
        <f>C8/원본데이터!$F$13</f>
        <v/>
      </c>
      <c r="F8" s="17">
        <f>SUM($C$5:C8)/원본데이터!$F$13</f>
        <v/>
      </c>
      <c r="G8" s="15">
        <f>COUNTIF(원본데이터!$H$5:$H$12,"&gt;0")</f>
        <v/>
      </c>
      <c r="H8" s="5">
        <f>INDEX(원본데이터!$B$5:$B$12,MATCH(MAX(원본데이터!$H$5:$H$12),원본데이터!$H$5:$H$12,0))</f>
        <v/>
      </c>
      <c r="I8" s="16">
        <f>MAX(원본데이터!$H$5:$H$12)</f>
        <v/>
      </c>
    </row>
    <row r="9">
      <c r="A9" s="15" t="n">
        <v>5</v>
      </c>
      <c r="B9" s="5" t="inlineStr">
        <is>
          <t>내부 백테</t>
        </is>
      </c>
      <c r="C9" s="16">
        <f>원본데이터!N13</f>
        <v/>
      </c>
      <c r="D9" s="17">
        <f>C9/원본데이터!$D$13</f>
        <v/>
      </c>
      <c r="E9" s="17">
        <f>C9/원본데이터!$F$13</f>
        <v/>
      </c>
      <c r="F9" s="17">
        <f>SUM($C$5:C9)/원본데이터!$F$13</f>
        <v/>
      </c>
      <c r="G9" s="15">
        <f>COUNTIF(원본데이터!$N$5:$N$12,"&gt;0")</f>
        <v/>
      </c>
      <c r="H9" s="5">
        <f>INDEX(원본데이터!$B$5:$B$12,MATCH(MAX(원본데이터!$N$5:$N$12),원본데이터!$N$5:$N$12,0))</f>
        <v/>
      </c>
      <c r="I9" s="16">
        <f>MAX(원본데이터!$N$5:$N$12)</f>
        <v/>
      </c>
    </row>
    <row r="10">
      <c r="A10" s="15" t="n">
        <v>6</v>
      </c>
      <c r="B10" s="5" t="inlineStr">
        <is>
          <t>페인트 얼룩</t>
        </is>
      </c>
      <c r="C10" s="16">
        <f>원본데이터!P13</f>
        <v/>
      </c>
      <c r="D10" s="17">
        <f>C10/원본데이터!$D$13</f>
        <v/>
      </c>
      <c r="E10" s="17">
        <f>C10/원본데이터!$F$13</f>
        <v/>
      </c>
      <c r="F10" s="17">
        <f>SUM($C$5:C10)/원본데이터!$F$13</f>
        <v/>
      </c>
      <c r="G10" s="15">
        <f>COUNTIF(원본데이터!$P$5:$P$12,"&gt;0")</f>
        <v/>
      </c>
      <c r="H10" s="5">
        <f>INDEX(원본데이터!$B$5:$B$12,MATCH(MAX(원본데이터!$P$5:$P$12),원본데이터!$P$5:$P$12,0))</f>
        <v/>
      </c>
      <c r="I10" s="16">
        <f>MAX(원본데이터!$P$5:$P$12)</f>
        <v/>
      </c>
    </row>
    <row r="11">
      <c r="A11" s="15" t="n">
        <v>7</v>
      </c>
      <c r="B11" s="5" t="inlineStr">
        <is>
          <t>Dig</t>
        </is>
      </c>
      <c r="C11" s="16">
        <f>원본데이터!K13</f>
        <v/>
      </c>
      <c r="D11" s="17">
        <f>C11/원본데이터!$D$13</f>
        <v/>
      </c>
      <c r="E11" s="17">
        <f>C11/원본데이터!$F$13</f>
        <v/>
      </c>
      <c r="F11" s="17">
        <f>SUM($C$5:C11)/원본데이터!$F$13</f>
        <v/>
      </c>
      <c r="G11" s="15">
        <f>COUNTIF(원본데이터!$K$5:$K$12,"&gt;0")</f>
        <v/>
      </c>
      <c r="H11" s="5">
        <f>INDEX(원본데이터!$B$5:$B$12,MATCH(MAX(원본데이터!$K$5:$K$12),원본데이터!$K$5:$K$12,0))</f>
        <v/>
      </c>
      <c r="I11" s="16">
        <f>MAX(원본데이터!$K$5:$K$12)</f>
        <v/>
      </c>
    </row>
    <row r="12">
      <c r="A12" s="15" t="n">
        <v>8</v>
      </c>
      <c r="B12" s="5" t="inlineStr">
        <is>
          <t>파손</t>
        </is>
      </c>
      <c r="C12" s="16">
        <f>원본데이터!L13</f>
        <v/>
      </c>
      <c r="D12" s="17">
        <f>C12/원본데이터!$D$13</f>
        <v/>
      </c>
      <c r="E12" s="17">
        <f>C12/원본데이터!$F$13</f>
        <v/>
      </c>
      <c r="F12" s="17">
        <f>SUM($C$5:C12)/원본데이터!$F$13</f>
        <v/>
      </c>
      <c r="G12" s="15">
        <f>COUNTIF(원본데이터!$L$5:$L$12,"&gt;0")</f>
        <v/>
      </c>
      <c r="H12" s="5">
        <f>INDEX(원본데이터!$B$5:$B$12,MATCH(MAX(원본데이터!$L$5:$L$12),원본데이터!$L$5:$L$12,0))</f>
        <v/>
      </c>
      <c r="I12" s="16">
        <f>MAX(원본데이터!$L$5:$L$12)</f>
        <v/>
      </c>
    </row>
    <row r="13">
      <c r="A13" s="15" t="n">
        <v>9</v>
      </c>
      <c r="B13" s="5" t="inlineStr">
        <is>
          <t>내부 기포</t>
        </is>
      </c>
      <c r="C13" s="16">
        <f>원본데이터!M13</f>
        <v/>
      </c>
      <c r="D13" s="17">
        <f>C13/원본데이터!$D$13</f>
        <v/>
      </c>
      <c r="E13" s="17">
        <f>C13/원본데이터!$F$13</f>
        <v/>
      </c>
      <c r="F13" s="17">
        <f>SUM($C$5:C13)/원본데이터!$F$13</f>
        <v/>
      </c>
      <c r="G13" s="15">
        <f>COUNTIF(원본데이터!$M$5:$M$12,"&gt;0")</f>
        <v/>
      </c>
      <c r="H13" s="5">
        <f>INDEX(원본데이터!$B$5:$B$12,MATCH(MAX(원본데이터!$M$5:$M$12),원본데이터!$M$5:$M$12,0))</f>
        <v/>
      </c>
      <c r="I13" s="16">
        <f>MAX(원본데이터!$M$5:$M$12)</f>
        <v/>
      </c>
    </row>
    <row r="14">
      <c r="A14" s="15" t="n">
        <v>10</v>
      </c>
      <c r="B14" s="5" t="inlineStr">
        <is>
          <t>Diffuser 얼룩</t>
        </is>
      </c>
      <c r="C14" s="16">
        <f>원본데이터!J13</f>
        <v/>
      </c>
      <c r="D14" s="17">
        <f>C14/원본데이터!$D$13</f>
        <v/>
      </c>
      <c r="E14" s="17">
        <f>C14/원본데이터!$F$13</f>
        <v/>
      </c>
      <c r="F14" s="17">
        <f>SUM($C$5:C14)/원본데이터!$F$13</f>
        <v/>
      </c>
      <c r="G14" s="15">
        <f>COUNTIF(원본데이터!$J$5:$J$12,"&gt;0")</f>
        <v/>
      </c>
      <c r="H14" s="5">
        <f>INDEX(원본데이터!$B$5:$B$12,MATCH(MAX(원본데이터!$J$5:$J$12),원본데이터!$J$5:$J$12,0))</f>
        <v/>
      </c>
      <c r="I14" s="16">
        <f>MAX(원본데이터!$J$5:$J$12)</f>
        <v/>
      </c>
    </row>
    <row r="15">
      <c r="A15" s="21" t="inlineStr">
        <is>
          <t>합계</t>
        </is>
      </c>
      <c r="B15" s="21" t="n"/>
      <c r="C15" s="22">
        <f>SUM(C5:C14)</f>
        <v/>
      </c>
      <c r="D15" s="23">
        <f>C15/원본데이터!$D$13</f>
        <v/>
      </c>
      <c r="E15" s="23">
        <f>C15/원본데이터!$F$13</f>
        <v/>
      </c>
      <c r="F15" s="24" t="n"/>
      <c r="G15" s="24" t="n"/>
      <c r="H15" s="24" t="n"/>
      <c r="I15" s="24" t="n"/>
    </row>
  </sheetData>
  <mergeCells count="3">
    <mergeCell ref="A2:H2"/>
    <mergeCell ref="A15:B15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1" t="inlineStr">
        <is>
          <t>유형별 발생 추이 — 로트 × 불량 유형</t>
        </is>
      </c>
    </row>
    <row r="2">
      <c r="A2" s="2" t="inlineStr">
        <is>
          <t>위 표는 수량, 아래 표는 각 로트 입고수량 대비 발생률.</t>
        </is>
      </c>
    </row>
    <row r="4" ht="30" customHeight="1">
      <c r="A4" s="4" t="inlineStr">
        <is>
          <t>No</t>
        </is>
      </c>
      <c r="B4" s="4" t="inlineStr">
        <is>
          <t>납품일</t>
        </is>
      </c>
      <c r="C4" s="4" t="inlineStr">
        <is>
          <t>입고수량</t>
        </is>
      </c>
      <c r="D4" s="4" t="inlineStr">
        <is>
          <t>표면 얼룩</t>
        </is>
      </c>
      <c r="E4" s="4" t="inlineStr">
        <is>
          <t>흰색 이물</t>
        </is>
      </c>
      <c r="F4" s="4" t="inlineStr">
        <is>
          <t>스크래치</t>
        </is>
      </c>
      <c r="G4" s="4" t="inlineStr">
        <is>
          <t>검정색 이물</t>
        </is>
      </c>
      <c r="H4" s="4" t="inlineStr">
        <is>
          <t>내부 백테</t>
        </is>
      </c>
      <c r="I4" s="4" t="inlineStr">
        <is>
          <t>페인트 얼룩</t>
        </is>
      </c>
      <c r="J4" s="4" t="inlineStr">
        <is>
          <t>Dig</t>
        </is>
      </c>
      <c r="K4" s="4" t="inlineStr">
        <is>
          <t>파손</t>
        </is>
      </c>
      <c r="L4" s="4" t="inlineStr">
        <is>
          <t>내부 기포</t>
        </is>
      </c>
      <c r="M4" s="4" t="inlineStr">
        <is>
          <t>Diffuser 얼룩</t>
        </is>
      </c>
    </row>
    <row r="5">
      <c r="A5" s="15">
        <f>원본데이터!A5</f>
        <v/>
      </c>
      <c r="B5" s="5">
        <f>원본데이터!B5</f>
        <v/>
      </c>
      <c r="C5" s="16">
        <f>원본데이터!D5</f>
        <v/>
      </c>
      <c r="D5" s="16">
        <f>원본데이터!O5</f>
        <v/>
      </c>
      <c r="E5" s="16">
        <f>원본데이터!G5</f>
        <v/>
      </c>
      <c r="F5" s="16">
        <f>원본데이터!I5</f>
        <v/>
      </c>
      <c r="G5" s="16">
        <f>원본데이터!H5</f>
        <v/>
      </c>
      <c r="H5" s="16">
        <f>원본데이터!N5</f>
        <v/>
      </c>
      <c r="I5" s="16">
        <f>원본데이터!P5</f>
        <v/>
      </c>
      <c r="J5" s="16">
        <f>원본데이터!K5</f>
        <v/>
      </c>
      <c r="K5" s="16">
        <f>원본데이터!L5</f>
        <v/>
      </c>
      <c r="L5" s="16">
        <f>원본데이터!M5</f>
        <v/>
      </c>
      <c r="M5" s="16">
        <f>원본데이터!J5</f>
        <v/>
      </c>
    </row>
    <row r="6">
      <c r="A6" s="15">
        <f>원본데이터!A6</f>
        <v/>
      </c>
      <c r="B6" s="5">
        <f>원본데이터!B6</f>
        <v/>
      </c>
      <c r="C6" s="16">
        <f>원본데이터!D6</f>
        <v/>
      </c>
      <c r="D6" s="16">
        <f>원본데이터!O6</f>
        <v/>
      </c>
      <c r="E6" s="16">
        <f>원본데이터!G6</f>
        <v/>
      </c>
      <c r="F6" s="16">
        <f>원본데이터!I6</f>
        <v/>
      </c>
      <c r="G6" s="16">
        <f>원본데이터!H6</f>
        <v/>
      </c>
      <c r="H6" s="16">
        <f>원본데이터!N6</f>
        <v/>
      </c>
      <c r="I6" s="16">
        <f>원본데이터!P6</f>
        <v/>
      </c>
      <c r="J6" s="16">
        <f>원본데이터!K6</f>
        <v/>
      </c>
      <c r="K6" s="16">
        <f>원본데이터!L6</f>
        <v/>
      </c>
      <c r="L6" s="16">
        <f>원본데이터!M6</f>
        <v/>
      </c>
      <c r="M6" s="16">
        <f>원본데이터!J6</f>
        <v/>
      </c>
    </row>
    <row r="7">
      <c r="A7" s="15">
        <f>원본데이터!A7</f>
        <v/>
      </c>
      <c r="B7" s="5">
        <f>원본데이터!B7</f>
        <v/>
      </c>
      <c r="C7" s="16">
        <f>원본데이터!D7</f>
        <v/>
      </c>
      <c r="D7" s="16">
        <f>원본데이터!O7</f>
        <v/>
      </c>
      <c r="E7" s="16">
        <f>원본데이터!G7</f>
        <v/>
      </c>
      <c r="F7" s="16">
        <f>원본데이터!I7</f>
        <v/>
      </c>
      <c r="G7" s="16">
        <f>원본데이터!H7</f>
        <v/>
      </c>
      <c r="H7" s="16">
        <f>원본데이터!N7</f>
        <v/>
      </c>
      <c r="I7" s="16">
        <f>원본데이터!P7</f>
        <v/>
      </c>
      <c r="J7" s="16">
        <f>원본데이터!K7</f>
        <v/>
      </c>
      <c r="K7" s="16">
        <f>원본데이터!L7</f>
        <v/>
      </c>
      <c r="L7" s="16">
        <f>원본데이터!M7</f>
        <v/>
      </c>
      <c r="M7" s="16">
        <f>원본데이터!J7</f>
        <v/>
      </c>
    </row>
    <row r="8">
      <c r="A8" s="15">
        <f>원본데이터!A8</f>
        <v/>
      </c>
      <c r="B8" s="5">
        <f>원본데이터!B8</f>
        <v/>
      </c>
      <c r="C8" s="16">
        <f>원본데이터!D8</f>
        <v/>
      </c>
      <c r="D8" s="16">
        <f>원본데이터!O8</f>
        <v/>
      </c>
      <c r="E8" s="16">
        <f>원본데이터!G8</f>
        <v/>
      </c>
      <c r="F8" s="16">
        <f>원본데이터!I8</f>
        <v/>
      </c>
      <c r="G8" s="16">
        <f>원본데이터!H8</f>
        <v/>
      </c>
      <c r="H8" s="16">
        <f>원본데이터!N8</f>
        <v/>
      </c>
      <c r="I8" s="16">
        <f>원본데이터!P8</f>
        <v/>
      </c>
      <c r="J8" s="16">
        <f>원본데이터!K8</f>
        <v/>
      </c>
      <c r="K8" s="16">
        <f>원본데이터!L8</f>
        <v/>
      </c>
      <c r="L8" s="16">
        <f>원본데이터!M8</f>
        <v/>
      </c>
      <c r="M8" s="16">
        <f>원본데이터!J8</f>
        <v/>
      </c>
    </row>
    <row r="9">
      <c r="A9" s="15">
        <f>원본데이터!A9</f>
        <v/>
      </c>
      <c r="B9" s="5">
        <f>원본데이터!B9</f>
        <v/>
      </c>
      <c r="C9" s="16">
        <f>원본데이터!D9</f>
        <v/>
      </c>
      <c r="D9" s="16">
        <f>원본데이터!O9</f>
        <v/>
      </c>
      <c r="E9" s="16">
        <f>원본데이터!G9</f>
        <v/>
      </c>
      <c r="F9" s="16">
        <f>원본데이터!I9</f>
        <v/>
      </c>
      <c r="G9" s="16">
        <f>원본데이터!H9</f>
        <v/>
      </c>
      <c r="H9" s="16">
        <f>원본데이터!N9</f>
        <v/>
      </c>
      <c r="I9" s="16">
        <f>원본데이터!P9</f>
        <v/>
      </c>
      <c r="J9" s="16">
        <f>원본데이터!K9</f>
        <v/>
      </c>
      <c r="K9" s="16">
        <f>원본데이터!L9</f>
        <v/>
      </c>
      <c r="L9" s="16">
        <f>원본데이터!M9</f>
        <v/>
      </c>
      <c r="M9" s="16">
        <f>원본데이터!J9</f>
        <v/>
      </c>
    </row>
    <row r="10">
      <c r="A10" s="15">
        <f>원본데이터!A10</f>
        <v/>
      </c>
      <c r="B10" s="5">
        <f>원본데이터!B10</f>
        <v/>
      </c>
      <c r="C10" s="16">
        <f>원본데이터!D10</f>
        <v/>
      </c>
      <c r="D10" s="16">
        <f>원본데이터!O10</f>
        <v/>
      </c>
      <c r="E10" s="16">
        <f>원본데이터!G10</f>
        <v/>
      </c>
      <c r="F10" s="16">
        <f>원본데이터!I10</f>
        <v/>
      </c>
      <c r="G10" s="16">
        <f>원본데이터!H10</f>
        <v/>
      </c>
      <c r="H10" s="16">
        <f>원본데이터!N10</f>
        <v/>
      </c>
      <c r="I10" s="16">
        <f>원본데이터!P10</f>
        <v/>
      </c>
      <c r="J10" s="16">
        <f>원본데이터!K10</f>
        <v/>
      </c>
      <c r="K10" s="16">
        <f>원본데이터!L10</f>
        <v/>
      </c>
      <c r="L10" s="16">
        <f>원본데이터!M10</f>
        <v/>
      </c>
      <c r="M10" s="16">
        <f>원본데이터!J10</f>
        <v/>
      </c>
    </row>
    <row r="11">
      <c r="A11" s="15">
        <f>원본데이터!A11</f>
        <v/>
      </c>
      <c r="B11" s="5">
        <f>원본데이터!B11</f>
        <v/>
      </c>
      <c r="C11" s="16">
        <f>원본데이터!D11</f>
        <v/>
      </c>
      <c r="D11" s="16">
        <f>원본데이터!O11</f>
        <v/>
      </c>
      <c r="E11" s="16">
        <f>원본데이터!G11</f>
        <v/>
      </c>
      <c r="F11" s="16">
        <f>원본데이터!I11</f>
        <v/>
      </c>
      <c r="G11" s="16">
        <f>원본데이터!H11</f>
        <v/>
      </c>
      <c r="H11" s="16">
        <f>원본데이터!N11</f>
        <v/>
      </c>
      <c r="I11" s="16">
        <f>원본데이터!P11</f>
        <v/>
      </c>
      <c r="J11" s="16">
        <f>원본데이터!K11</f>
        <v/>
      </c>
      <c r="K11" s="16">
        <f>원본데이터!L11</f>
        <v/>
      </c>
      <c r="L11" s="16">
        <f>원본데이터!M11</f>
        <v/>
      </c>
      <c r="M11" s="16">
        <f>원본데이터!J11</f>
        <v/>
      </c>
    </row>
    <row r="12">
      <c r="A12" s="15">
        <f>원본데이터!A12</f>
        <v/>
      </c>
      <c r="B12" s="5">
        <f>원본데이터!B12</f>
        <v/>
      </c>
      <c r="C12" s="16">
        <f>원본데이터!D12</f>
        <v/>
      </c>
      <c r="D12" s="16">
        <f>원본데이터!O12</f>
        <v/>
      </c>
      <c r="E12" s="16">
        <f>원본데이터!G12</f>
        <v/>
      </c>
      <c r="F12" s="16">
        <f>원본데이터!I12</f>
        <v/>
      </c>
      <c r="G12" s="16">
        <f>원본데이터!H12</f>
        <v/>
      </c>
      <c r="H12" s="16">
        <f>원본데이터!N12</f>
        <v/>
      </c>
      <c r="I12" s="16">
        <f>원본데이터!P12</f>
        <v/>
      </c>
      <c r="J12" s="16">
        <f>원본데이터!K12</f>
        <v/>
      </c>
      <c r="K12" s="16">
        <f>원본데이터!L12</f>
        <v/>
      </c>
      <c r="L12" s="16">
        <f>원본데이터!M12</f>
        <v/>
      </c>
      <c r="M12" s="16">
        <f>원본데이터!J12</f>
        <v/>
      </c>
    </row>
    <row r="13">
      <c r="A13" s="21" t="inlineStr">
        <is>
          <t>합계</t>
        </is>
      </c>
      <c r="B13" s="21" t="n"/>
      <c r="C13" s="22">
        <f>SUM(C5:C12)</f>
        <v/>
      </c>
      <c r="D13" s="22">
        <f>SUM(D5:D12)</f>
        <v/>
      </c>
      <c r="E13" s="22">
        <f>SUM(E5:E12)</f>
        <v/>
      </c>
      <c r="F13" s="22">
        <f>SUM(F5:F12)</f>
        <v/>
      </c>
      <c r="G13" s="22">
        <f>SUM(G5:G12)</f>
        <v/>
      </c>
      <c r="H13" s="22">
        <f>SUM(H5:H12)</f>
        <v/>
      </c>
      <c r="I13" s="22">
        <f>SUM(I5:I12)</f>
        <v/>
      </c>
      <c r="J13" s="22">
        <f>SUM(J5:J12)</f>
        <v/>
      </c>
      <c r="K13" s="22">
        <f>SUM(K5:K12)</f>
        <v/>
      </c>
      <c r="L13" s="22">
        <f>SUM(L5:L12)</f>
        <v/>
      </c>
      <c r="M13" s="22">
        <f>SUM(M5:M12)</f>
        <v/>
      </c>
    </row>
    <row r="15">
      <c r="A15" s="3" t="inlineStr">
        <is>
          <t>입고수량 대비 발생률</t>
        </is>
      </c>
    </row>
    <row r="16" ht="30" customHeight="1">
      <c r="A16" s="4" t="inlineStr">
        <is>
          <t>No</t>
        </is>
      </c>
      <c r="B16" s="4" t="inlineStr">
        <is>
          <t>납품일</t>
        </is>
      </c>
      <c r="C16" s="4" t="inlineStr">
        <is>
          <t>불량률</t>
        </is>
      </c>
      <c r="D16" s="4" t="inlineStr">
        <is>
          <t>표면 얼룩</t>
        </is>
      </c>
      <c r="E16" s="4" t="inlineStr">
        <is>
          <t>흰색 이물</t>
        </is>
      </c>
      <c r="F16" s="4" t="inlineStr">
        <is>
          <t>스크래치</t>
        </is>
      </c>
      <c r="G16" s="4" t="inlineStr">
        <is>
          <t>검정색 이물</t>
        </is>
      </c>
      <c r="H16" s="4" t="inlineStr">
        <is>
          <t>내부 백테</t>
        </is>
      </c>
      <c r="I16" s="4" t="inlineStr">
        <is>
          <t>페인트 얼룩</t>
        </is>
      </c>
      <c r="J16" s="4" t="inlineStr">
        <is>
          <t>Dig</t>
        </is>
      </c>
      <c r="K16" s="4" t="inlineStr">
        <is>
          <t>파손</t>
        </is>
      </c>
      <c r="L16" s="4" t="inlineStr">
        <is>
          <t>내부 기포</t>
        </is>
      </c>
      <c r="M16" s="4" t="inlineStr">
        <is>
          <t>Diffuser 얼룩</t>
        </is>
      </c>
    </row>
    <row r="17">
      <c r="A17" s="15">
        <f>원본데이터!A5</f>
        <v/>
      </c>
      <c r="B17" s="5">
        <f>원본데이터!B5</f>
        <v/>
      </c>
      <c r="C17" s="17">
        <f>원본데이터!F5/원본데이터!D5</f>
        <v/>
      </c>
      <c r="D17" s="17">
        <f>D5/$C5</f>
        <v/>
      </c>
      <c r="E17" s="17">
        <f>E5/$C5</f>
        <v/>
      </c>
      <c r="F17" s="17">
        <f>F5/$C5</f>
        <v/>
      </c>
      <c r="G17" s="17">
        <f>G5/$C5</f>
        <v/>
      </c>
      <c r="H17" s="17">
        <f>H5/$C5</f>
        <v/>
      </c>
      <c r="I17" s="17">
        <f>I5/$C5</f>
        <v/>
      </c>
      <c r="J17" s="17">
        <f>J5/$C5</f>
        <v/>
      </c>
      <c r="K17" s="17">
        <f>K5/$C5</f>
        <v/>
      </c>
      <c r="L17" s="17">
        <f>L5/$C5</f>
        <v/>
      </c>
      <c r="M17" s="17">
        <f>M5/$C5</f>
        <v/>
      </c>
    </row>
    <row r="18">
      <c r="A18" s="15">
        <f>원본데이터!A6</f>
        <v/>
      </c>
      <c r="B18" s="5">
        <f>원본데이터!B6</f>
        <v/>
      </c>
      <c r="C18" s="17">
        <f>원본데이터!F6/원본데이터!D6</f>
        <v/>
      </c>
      <c r="D18" s="17">
        <f>D6/$C6</f>
        <v/>
      </c>
      <c r="E18" s="17">
        <f>E6/$C6</f>
        <v/>
      </c>
      <c r="F18" s="17">
        <f>F6/$C6</f>
        <v/>
      </c>
      <c r="G18" s="17">
        <f>G6/$C6</f>
        <v/>
      </c>
      <c r="H18" s="17">
        <f>H6/$C6</f>
        <v/>
      </c>
      <c r="I18" s="17">
        <f>I6/$C6</f>
        <v/>
      </c>
      <c r="J18" s="17">
        <f>J6/$C6</f>
        <v/>
      </c>
      <c r="K18" s="17">
        <f>K6/$C6</f>
        <v/>
      </c>
      <c r="L18" s="17">
        <f>L6/$C6</f>
        <v/>
      </c>
      <c r="M18" s="17">
        <f>M6/$C6</f>
        <v/>
      </c>
    </row>
    <row r="19">
      <c r="A19" s="15">
        <f>원본데이터!A7</f>
        <v/>
      </c>
      <c r="B19" s="5">
        <f>원본데이터!B7</f>
        <v/>
      </c>
      <c r="C19" s="17">
        <f>원본데이터!F7/원본데이터!D7</f>
        <v/>
      </c>
      <c r="D19" s="17">
        <f>D7/$C7</f>
        <v/>
      </c>
      <c r="E19" s="17">
        <f>E7/$C7</f>
        <v/>
      </c>
      <c r="F19" s="17">
        <f>F7/$C7</f>
        <v/>
      </c>
      <c r="G19" s="17">
        <f>G7/$C7</f>
        <v/>
      </c>
      <c r="H19" s="17">
        <f>H7/$C7</f>
        <v/>
      </c>
      <c r="I19" s="17">
        <f>I7/$C7</f>
        <v/>
      </c>
      <c r="J19" s="17">
        <f>J7/$C7</f>
        <v/>
      </c>
      <c r="K19" s="17">
        <f>K7/$C7</f>
        <v/>
      </c>
      <c r="L19" s="17">
        <f>L7/$C7</f>
        <v/>
      </c>
      <c r="M19" s="17">
        <f>M7/$C7</f>
        <v/>
      </c>
    </row>
    <row r="20">
      <c r="A20" s="15">
        <f>원본데이터!A8</f>
        <v/>
      </c>
      <c r="B20" s="5">
        <f>원본데이터!B8</f>
        <v/>
      </c>
      <c r="C20" s="17">
        <f>원본데이터!F8/원본데이터!D8</f>
        <v/>
      </c>
      <c r="D20" s="17">
        <f>D8/$C8</f>
        <v/>
      </c>
      <c r="E20" s="17">
        <f>E8/$C8</f>
        <v/>
      </c>
      <c r="F20" s="17">
        <f>F8/$C8</f>
        <v/>
      </c>
      <c r="G20" s="17">
        <f>G8/$C8</f>
        <v/>
      </c>
      <c r="H20" s="17">
        <f>H8/$C8</f>
        <v/>
      </c>
      <c r="I20" s="17">
        <f>I8/$C8</f>
        <v/>
      </c>
      <c r="J20" s="17">
        <f>J8/$C8</f>
        <v/>
      </c>
      <c r="K20" s="17">
        <f>K8/$C8</f>
        <v/>
      </c>
      <c r="L20" s="17">
        <f>L8/$C8</f>
        <v/>
      </c>
      <c r="M20" s="17">
        <f>M8/$C8</f>
        <v/>
      </c>
    </row>
    <row r="21">
      <c r="A21" s="15">
        <f>원본데이터!A9</f>
        <v/>
      </c>
      <c r="B21" s="5">
        <f>원본데이터!B9</f>
        <v/>
      </c>
      <c r="C21" s="17">
        <f>원본데이터!F9/원본데이터!D9</f>
        <v/>
      </c>
      <c r="D21" s="17">
        <f>D9/$C9</f>
        <v/>
      </c>
      <c r="E21" s="17">
        <f>E9/$C9</f>
        <v/>
      </c>
      <c r="F21" s="17">
        <f>F9/$C9</f>
        <v/>
      </c>
      <c r="G21" s="17">
        <f>G9/$C9</f>
        <v/>
      </c>
      <c r="H21" s="17">
        <f>H9/$C9</f>
        <v/>
      </c>
      <c r="I21" s="17">
        <f>I9/$C9</f>
        <v/>
      </c>
      <c r="J21" s="17">
        <f>J9/$C9</f>
        <v/>
      </c>
      <c r="K21" s="17">
        <f>K9/$C9</f>
        <v/>
      </c>
      <c r="L21" s="17">
        <f>L9/$C9</f>
        <v/>
      </c>
      <c r="M21" s="17">
        <f>M9/$C9</f>
        <v/>
      </c>
    </row>
    <row r="22">
      <c r="A22" s="15">
        <f>원본데이터!A10</f>
        <v/>
      </c>
      <c r="B22" s="5">
        <f>원본데이터!B10</f>
        <v/>
      </c>
      <c r="C22" s="17">
        <f>원본데이터!F10/원본데이터!D10</f>
        <v/>
      </c>
      <c r="D22" s="17">
        <f>D10/$C10</f>
        <v/>
      </c>
      <c r="E22" s="17">
        <f>E10/$C10</f>
        <v/>
      </c>
      <c r="F22" s="17">
        <f>F10/$C10</f>
        <v/>
      </c>
      <c r="G22" s="17">
        <f>G10/$C10</f>
        <v/>
      </c>
      <c r="H22" s="17">
        <f>H10/$C10</f>
        <v/>
      </c>
      <c r="I22" s="17">
        <f>I10/$C10</f>
        <v/>
      </c>
      <c r="J22" s="17">
        <f>J10/$C10</f>
        <v/>
      </c>
      <c r="K22" s="17">
        <f>K10/$C10</f>
        <v/>
      </c>
      <c r="L22" s="17">
        <f>L10/$C10</f>
        <v/>
      </c>
      <c r="M22" s="17">
        <f>M10/$C10</f>
        <v/>
      </c>
    </row>
    <row r="23">
      <c r="A23" s="15">
        <f>원본데이터!A11</f>
        <v/>
      </c>
      <c r="B23" s="5">
        <f>원본데이터!B11</f>
        <v/>
      </c>
      <c r="C23" s="17">
        <f>원본데이터!F11/원본데이터!D11</f>
        <v/>
      </c>
      <c r="D23" s="17">
        <f>D11/$C11</f>
        <v/>
      </c>
      <c r="E23" s="17">
        <f>E11/$C11</f>
        <v/>
      </c>
      <c r="F23" s="17">
        <f>F11/$C11</f>
        <v/>
      </c>
      <c r="G23" s="17">
        <f>G11/$C11</f>
        <v/>
      </c>
      <c r="H23" s="17">
        <f>H11/$C11</f>
        <v/>
      </c>
      <c r="I23" s="17">
        <f>I11/$C11</f>
        <v/>
      </c>
      <c r="J23" s="17">
        <f>J11/$C11</f>
        <v/>
      </c>
      <c r="K23" s="17">
        <f>K11/$C11</f>
        <v/>
      </c>
      <c r="L23" s="17">
        <f>L11/$C11</f>
        <v/>
      </c>
      <c r="M23" s="17">
        <f>M11/$C11</f>
        <v/>
      </c>
    </row>
    <row r="24">
      <c r="A24" s="15">
        <f>원본데이터!A12</f>
        <v/>
      </c>
      <c r="B24" s="5">
        <f>원본데이터!B12</f>
        <v/>
      </c>
      <c r="C24" s="17">
        <f>원본데이터!F12/원본데이터!D12</f>
        <v/>
      </c>
      <c r="D24" s="17">
        <f>D12/$C12</f>
        <v/>
      </c>
      <c r="E24" s="17">
        <f>E12/$C12</f>
        <v/>
      </c>
      <c r="F24" s="17">
        <f>F12/$C12</f>
        <v/>
      </c>
      <c r="G24" s="17">
        <f>G12/$C12</f>
        <v/>
      </c>
      <c r="H24" s="17">
        <f>H12/$C12</f>
        <v/>
      </c>
      <c r="I24" s="17">
        <f>I12/$C12</f>
        <v/>
      </c>
      <c r="J24" s="17">
        <f>J12/$C12</f>
        <v/>
      </c>
      <c r="K24" s="17">
        <f>K12/$C12</f>
        <v/>
      </c>
      <c r="L24" s="17">
        <f>L12/$C12</f>
        <v/>
      </c>
      <c r="M24" s="17">
        <f>M12/$C12</f>
        <v/>
      </c>
    </row>
  </sheetData>
  <mergeCells count="3">
    <mergeCell ref="A2:L2"/>
    <mergeCell ref="A13:B13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8" customWidth="1" min="18" max="18"/>
  </cols>
  <sheetData>
    <row r="1" ht="22" customHeight="1">
      <c r="A1" s="1" t="inlineStr">
        <is>
          <t>U20 플라스틱 프리즘 — 입고검사 원자료</t>
        </is>
      </c>
    </row>
    <row r="2">
      <c r="A2" s="2" t="inlineStr">
        <is>
          <t>출처: U20 Plastic Prism 검사현황 (From ALT 2026) 시트별 「소 계」 행. 회색 배경 = 원자료 입력값, 그 외 = 수식.</t>
        </is>
      </c>
    </row>
    <row r="4" ht="30" customHeight="1">
      <c r="A4" s="4" t="inlineStr">
        <is>
          <t>No</t>
        </is>
      </c>
      <c r="B4" s="4" t="inlineStr">
        <is>
          <t>납품일</t>
        </is>
      </c>
      <c r="C4" s="4" t="inlineStr">
        <is>
          <t>연월</t>
        </is>
      </c>
      <c r="D4" s="4" t="inlineStr">
        <is>
          <t>입고수량</t>
        </is>
      </c>
      <c r="E4" s="4" t="inlineStr">
        <is>
          <t>양품</t>
        </is>
      </c>
      <c r="F4" s="4" t="inlineStr">
        <is>
          <t>불량 계</t>
        </is>
      </c>
      <c r="G4" s="4" t="inlineStr">
        <is>
          <t>흰색 이물</t>
        </is>
      </c>
      <c r="H4" s="4" t="inlineStr">
        <is>
          <t>검정색 이물</t>
        </is>
      </c>
      <c r="I4" s="4" t="inlineStr">
        <is>
          <t>스크래치</t>
        </is>
      </c>
      <c r="J4" s="4" t="inlineStr">
        <is>
          <t>Diffuser 얼룩</t>
        </is>
      </c>
      <c r="K4" s="4" t="inlineStr">
        <is>
          <t>Dig</t>
        </is>
      </c>
      <c r="L4" s="4" t="inlineStr">
        <is>
          <t>파손</t>
        </is>
      </c>
      <c r="M4" s="4" t="inlineStr">
        <is>
          <t>내부 기포</t>
        </is>
      </c>
      <c r="N4" s="4" t="inlineStr">
        <is>
          <t>내부 백테</t>
        </is>
      </c>
      <c r="O4" s="4" t="inlineStr">
        <is>
          <t>표면 얼룩</t>
        </is>
      </c>
      <c r="P4" s="4" t="inlineStr">
        <is>
          <t>페인트 얼룩</t>
        </is>
      </c>
      <c r="Q4" s="4" t="inlineStr">
        <is>
          <t>원자료 합계</t>
        </is>
      </c>
      <c r="R4" s="4" t="inlineStr">
        <is>
          <t>검증</t>
        </is>
      </c>
    </row>
    <row r="5">
      <c r="A5" s="15" t="n">
        <v>1</v>
      </c>
      <c r="B5" s="5" t="inlineStr">
        <is>
          <t>2024-07-09</t>
        </is>
      </c>
      <c r="C5" s="15" t="inlineStr">
        <is>
          <t>2024-07</t>
        </is>
      </c>
      <c r="D5" s="16">
        <f>E5+F5</f>
        <v/>
      </c>
      <c r="E5" s="25" t="n">
        <v>629</v>
      </c>
      <c r="F5" s="16">
        <f>SUM(G5:P5)</f>
        <v/>
      </c>
      <c r="G5" s="25" t="n">
        <v>231</v>
      </c>
      <c r="H5" s="25" t="n">
        <v>19</v>
      </c>
      <c r="I5" s="25" t="n">
        <v>99</v>
      </c>
      <c r="J5" s="25" t="n">
        <v>3</v>
      </c>
      <c r="K5" s="25" t="n">
        <v>0</v>
      </c>
      <c r="L5" s="25" t="n">
        <v>0</v>
      </c>
      <c r="M5" s="25" t="n">
        <v>0</v>
      </c>
      <c r="N5" s="25" t="n">
        <v>21</v>
      </c>
      <c r="O5" s="25" t="n">
        <v>6</v>
      </c>
      <c r="P5" s="25" t="n">
        <v>0</v>
      </c>
      <c r="Q5" s="25" t="n">
        <v>1008</v>
      </c>
      <c r="R5" s="16">
        <f>D5-Q5</f>
        <v/>
      </c>
    </row>
    <row r="6">
      <c r="A6" s="15" t="n">
        <v>2</v>
      </c>
      <c r="B6" s="5" t="inlineStr">
        <is>
          <t>2024-11-14</t>
        </is>
      </c>
      <c r="C6" s="15" t="inlineStr">
        <is>
          <t>2024-11</t>
        </is>
      </c>
      <c r="D6" s="16">
        <f>E6+F6</f>
        <v/>
      </c>
      <c r="E6" s="25" t="n">
        <v>3791</v>
      </c>
      <c r="F6" s="16">
        <f>SUM(G6:P6)</f>
        <v/>
      </c>
      <c r="G6" s="25" t="n">
        <v>1036</v>
      </c>
      <c r="H6" s="25" t="n">
        <v>129</v>
      </c>
      <c r="I6" s="25" t="n">
        <v>49</v>
      </c>
      <c r="J6" s="25" t="n">
        <v>0</v>
      </c>
      <c r="K6" s="25" t="n">
        <v>9</v>
      </c>
      <c r="L6" s="25" t="n">
        <v>0</v>
      </c>
      <c r="M6" s="25" t="n">
        <v>0</v>
      </c>
      <c r="N6" s="25" t="n">
        <v>15</v>
      </c>
      <c r="O6" s="25" t="n">
        <v>11</v>
      </c>
      <c r="P6" s="25" t="n">
        <v>0</v>
      </c>
      <c r="Q6" s="25" t="n">
        <v>5040</v>
      </c>
      <c r="R6" s="16">
        <f>D6-Q6</f>
        <v/>
      </c>
    </row>
    <row r="7">
      <c r="A7" s="15" t="n">
        <v>3</v>
      </c>
      <c r="B7" s="5" t="inlineStr">
        <is>
          <t>2024-12-23</t>
        </is>
      </c>
      <c r="C7" s="15" t="inlineStr">
        <is>
          <t>2024-12</t>
        </is>
      </c>
      <c r="D7" s="16">
        <f>E7+F7</f>
        <v/>
      </c>
      <c r="E7" s="25" t="n">
        <v>4920</v>
      </c>
      <c r="F7" s="16">
        <f>SUM(G7:P7)</f>
        <v/>
      </c>
      <c r="G7" s="25" t="n">
        <v>13</v>
      </c>
      <c r="H7" s="25" t="n">
        <v>68</v>
      </c>
      <c r="I7" s="25" t="n">
        <v>19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16</v>
      </c>
      <c r="O7" s="25" t="n">
        <v>4</v>
      </c>
      <c r="P7" s="25" t="n">
        <v>0</v>
      </c>
      <c r="Q7" s="25" t="n">
        <v>5040</v>
      </c>
      <c r="R7" s="16">
        <f>D7-Q7</f>
        <v/>
      </c>
    </row>
    <row r="8">
      <c r="A8" s="15" t="n">
        <v>4</v>
      </c>
      <c r="B8" s="5" t="inlineStr">
        <is>
          <t>2025-01-20</t>
        </is>
      </c>
      <c r="C8" s="15" t="inlineStr">
        <is>
          <t>2025-01</t>
        </is>
      </c>
      <c r="D8" s="16">
        <f>E8+F8</f>
        <v/>
      </c>
      <c r="E8" s="25" t="n">
        <v>4961</v>
      </c>
      <c r="F8" s="16">
        <f>SUM(G8:P8)</f>
        <v/>
      </c>
      <c r="G8" s="25" t="n">
        <v>12</v>
      </c>
      <c r="H8" s="25" t="n">
        <v>14</v>
      </c>
      <c r="I8" s="25" t="n">
        <v>7</v>
      </c>
      <c r="J8" s="25" t="n">
        <v>0</v>
      </c>
      <c r="K8" s="25" t="n">
        <v>0</v>
      </c>
      <c r="L8" s="25" t="n">
        <v>3</v>
      </c>
      <c r="M8" s="25" t="n">
        <v>0</v>
      </c>
      <c r="N8" s="25" t="n">
        <v>22</v>
      </c>
      <c r="O8" s="25" t="n">
        <v>21</v>
      </c>
      <c r="P8" s="25" t="n">
        <v>0</v>
      </c>
      <c r="Q8" s="25" t="n">
        <v>5040</v>
      </c>
      <c r="R8" s="16">
        <f>D8-Q8</f>
        <v/>
      </c>
    </row>
    <row r="9">
      <c r="A9" s="15" t="n">
        <v>5</v>
      </c>
      <c r="B9" s="5" t="inlineStr">
        <is>
          <t>2025-02-26</t>
        </is>
      </c>
      <c r="C9" s="15" t="inlineStr">
        <is>
          <t>2025-02</t>
        </is>
      </c>
      <c r="D9" s="16">
        <f>E9+F9</f>
        <v/>
      </c>
      <c r="E9" s="25" t="n">
        <v>5011</v>
      </c>
      <c r="F9" s="16">
        <f>SUM(G9:P9)</f>
        <v/>
      </c>
      <c r="G9" s="25" t="n">
        <v>19</v>
      </c>
      <c r="H9" s="25" t="n">
        <v>1</v>
      </c>
      <c r="I9" s="25" t="n">
        <v>2</v>
      </c>
      <c r="J9" s="25" t="n">
        <v>2</v>
      </c>
      <c r="K9" s="25" t="n">
        <v>5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5" t="n">
        <v>5040</v>
      </c>
      <c r="R9" s="16">
        <f>D9-Q9</f>
        <v/>
      </c>
    </row>
    <row r="10">
      <c r="A10" s="15" t="n">
        <v>6</v>
      </c>
      <c r="B10" s="5" t="inlineStr">
        <is>
          <t>2025-06-27</t>
        </is>
      </c>
      <c r="C10" s="15" t="inlineStr">
        <is>
          <t>2025-06</t>
        </is>
      </c>
      <c r="D10" s="16">
        <f>E10+F10</f>
        <v/>
      </c>
      <c r="E10" s="25" t="n">
        <v>9922</v>
      </c>
      <c r="F10" s="16">
        <f>SUM(G10:P10)</f>
        <v/>
      </c>
      <c r="G10" s="25" t="n">
        <v>41</v>
      </c>
      <c r="H10" s="25" t="n">
        <v>11</v>
      </c>
      <c r="I10" s="25" t="n">
        <v>50</v>
      </c>
      <c r="J10" s="25" t="n">
        <v>0</v>
      </c>
      <c r="K10" s="25" t="n">
        <v>0</v>
      </c>
      <c r="L10" s="25" t="n">
        <v>0</v>
      </c>
      <c r="M10" s="25" t="n">
        <v>8</v>
      </c>
      <c r="N10" s="25" t="n">
        <v>10</v>
      </c>
      <c r="O10" s="25" t="n">
        <v>38</v>
      </c>
      <c r="P10" s="25" t="n">
        <v>0</v>
      </c>
      <c r="Q10" s="25" t="n">
        <v>10080</v>
      </c>
      <c r="R10" s="16">
        <f>D10-Q10</f>
        <v/>
      </c>
    </row>
    <row r="11">
      <c r="A11" s="15" t="n">
        <v>7</v>
      </c>
      <c r="B11" s="5" t="inlineStr">
        <is>
          <t>2026-01-23 (1차)</t>
        </is>
      </c>
      <c r="C11" s="15" t="inlineStr">
        <is>
          <t>2026-01</t>
        </is>
      </c>
      <c r="D11" s="16">
        <f>E11+F11</f>
        <v/>
      </c>
      <c r="E11" s="25" t="n">
        <v>14070</v>
      </c>
      <c r="F11" s="16">
        <f>SUM(G11:P11)</f>
        <v/>
      </c>
      <c r="G11" s="25" t="n">
        <v>455</v>
      </c>
      <c r="H11" s="25" t="n">
        <v>150</v>
      </c>
      <c r="I11" s="25" t="n">
        <v>262</v>
      </c>
      <c r="J11" s="25" t="n">
        <v>0</v>
      </c>
      <c r="K11" s="25" t="n">
        <v>0</v>
      </c>
      <c r="L11" s="25" t="n">
        <v>7</v>
      </c>
      <c r="M11" s="25" t="n">
        <v>0</v>
      </c>
      <c r="N11" s="25" t="n">
        <v>11</v>
      </c>
      <c r="O11" s="25" t="n">
        <v>165</v>
      </c>
      <c r="P11" s="25" t="n">
        <v>0</v>
      </c>
      <c r="Q11" s="25" t="n">
        <v>15120</v>
      </c>
      <c r="R11" s="16">
        <f>D11-Q11</f>
        <v/>
      </c>
    </row>
    <row r="12">
      <c r="A12" s="15" t="n">
        <v>8</v>
      </c>
      <c r="B12" s="5" t="inlineStr">
        <is>
          <t>2026-01-23 (2차)</t>
        </is>
      </c>
      <c r="C12" s="15" t="inlineStr">
        <is>
          <t>2026-01</t>
        </is>
      </c>
      <c r="D12" s="16">
        <f>E12+F12</f>
        <v/>
      </c>
      <c r="E12" s="25" t="n">
        <v>8328</v>
      </c>
      <c r="F12" s="16">
        <f>SUM(G12:P12)</f>
        <v/>
      </c>
      <c r="G12" s="25" t="n">
        <v>512</v>
      </c>
      <c r="H12" s="25" t="n">
        <v>118</v>
      </c>
      <c r="I12" s="25" t="n">
        <v>244</v>
      </c>
      <c r="J12" s="25" t="n">
        <v>0</v>
      </c>
      <c r="K12" s="25" t="n">
        <v>0</v>
      </c>
      <c r="L12" s="25" t="n">
        <v>0</v>
      </c>
      <c r="M12" s="25" t="n">
        <v>0</v>
      </c>
      <c r="N12" s="25" t="n">
        <v>0</v>
      </c>
      <c r="O12" s="25" t="n">
        <v>5843</v>
      </c>
      <c r="P12" s="25" t="n">
        <v>75</v>
      </c>
      <c r="Q12" s="25" t="n">
        <v>15120</v>
      </c>
      <c r="R12" s="16">
        <f>D12-Q12</f>
        <v/>
      </c>
    </row>
    <row r="13">
      <c r="A13" s="21" t="inlineStr">
        <is>
          <t>합계</t>
        </is>
      </c>
      <c r="B13" s="26" t="n"/>
      <c r="C13" s="26" t="n"/>
      <c r="D13" s="22">
        <f>SUM(D5:D12)</f>
        <v/>
      </c>
      <c r="E13" s="22">
        <f>SUM(E5:E12)</f>
        <v/>
      </c>
      <c r="F13" s="22">
        <f>SUM(F5:F12)</f>
        <v/>
      </c>
      <c r="G13" s="22">
        <f>SUM(G5:G12)</f>
        <v/>
      </c>
      <c r="H13" s="22">
        <f>SUM(H5:H12)</f>
        <v/>
      </c>
      <c r="I13" s="22">
        <f>SUM(I5:I12)</f>
        <v/>
      </c>
      <c r="J13" s="22">
        <f>SUM(J5:J12)</f>
        <v/>
      </c>
      <c r="K13" s="22">
        <f>SUM(K5:K12)</f>
        <v/>
      </c>
      <c r="L13" s="22">
        <f>SUM(L5:L12)</f>
        <v/>
      </c>
      <c r="M13" s="22">
        <f>SUM(M5:M12)</f>
        <v/>
      </c>
      <c r="N13" s="22">
        <f>SUM(N5:N12)</f>
        <v/>
      </c>
      <c r="O13" s="22">
        <f>SUM(O5:O12)</f>
        <v/>
      </c>
      <c r="P13" s="22">
        <f>SUM(P5:P12)</f>
        <v/>
      </c>
      <c r="Q13" s="22">
        <f>SUM(Q5:Q12)</f>
        <v/>
      </c>
      <c r="R13" s="22">
        <f>D13-Q13</f>
        <v/>
      </c>
    </row>
    <row r="15">
      <c r="A15" s="2" t="inlineStr">
        <is>
          <t>검증 열 = 입고수량(양품+불량계) − 원자료 합계. 전 행 0 이어야 정상이다.</t>
        </is>
      </c>
    </row>
  </sheetData>
  <mergeCells count="3">
    <mergeCell ref="A2:R2"/>
    <mergeCell ref="A13:C13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2026-08-13T04:00:25Z</dcterms:created>
  <dcterms:modified xsi:type="dcterms:W3CDTF">2026-08-13T04:00:25Z</dcterms:modified>
</cp:coreProperties>
</file>